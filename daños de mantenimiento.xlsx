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yron\Desktop\mtt\"/>
    </mc:Choice>
  </mc:AlternateContent>
  <xr:revisionPtr revIDLastSave="0" documentId="13_ncr:1_{6A4D7607-CCA3-41B4-9EE3-D56509774C7F}" xr6:coauthVersionLast="47" xr6:coauthVersionMax="47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MAQUINAS" sheetId="4" r:id="rId1"/>
    <sheet name="TECNICOS" sheetId="5" r:id="rId2"/>
    <sheet name="Configuracion" sheetId="2" state="hidden" r:id="rId3"/>
    <sheet name="Agosto" sheetId="1" r:id="rId4"/>
    <sheet name="Hoja1" sheetId="6" r:id="rId5"/>
    <sheet name="Septiembre" sheetId="3" r:id="rId6"/>
  </sheets>
  <definedNames>
    <definedName name="_xlnm._FilterDatabase" localSheetId="3" hidden="1">Agosto!$A$1:$M$1000</definedName>
    <definedName name="Horas5Min">Configuracion!$A$1:$A$288</definedName>
    <definedName name="Horas5MinAmbos">Configuracion!$B$1:$B$288</definedName>
    <definedName name="HorasCadaMinuto">Configuracion!$C$1:$C$1440</definedName>
    <definedName name="ListaMaquinas">Configuracion!$D$1:$D$48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E2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<sst xmlns="http://schemas.openxmlformats.org/spreadsheetml/2006/main" count="472" uniqueCount="379">
  <si>
    <t>MAQUINAS</t>
  </si>
  <si>
    <t>AREA</t>
  </si>
  <si>
    <t>WNT</t>
  </si>
  <si>
    <t>CORTE</t>
  </si>
  <si>
    <t>SELCO2</t>
  </si>
  <si>
    <t>SELCO3</t>
  </si>
  <si>
    <t>SELCO4</t>
  </si>
  <si>
    <t>HOMAG400</t>
  </si>
  <si>
    <t>HOMAG500</t>
  </si>
  <si>
    <t>ENCHAPE</t>
  </si>
  <si>
    <t>HOMAGKL310</t>
  </si>
  <si>
    <t>STREAM1</t>
  </si>
  <si>
    <t>STREAM2</t>
  </si>
  <si>
    <t>STREAM3</t>
  </si>
  <si>
    <t>AKRON1</t>
  </si>
  <si>
    <t>AKRON2</t>
  </si>
  <si>
    <t>JADE</t>
  </si>
  <si>
    <t>NANXING</t>
  </si>
  <si>
    <t>CURVA F15</t>
  </si>
  <si>
    <t>CURVABIESSE</t>
  </si>
  <si>
    <t>SKIPPER1</t>
  </si>
  <si>
    <t>MAQUINADO</t>
  </si>
  <si>
    <t>SKIPPER2</t>
  </si>
  <si>
    <t>SKIPPER3</t>
  </si>
  <si>
    <t>SKIPPER4</t>
  </si>
  <si>
    <t>SKIPPER5</t>
  </si>
  <si>
    <t>BHX1</t>
  </si>
  <si>
    <t>BHX2</t>
  </si>
  <si>
    <t>HOMAGH600</t>
  </si>
  <si>
    <t>ROVER1</t>
  </si>
  <si>
    <t>ROVER2</t>
  </si>
  <si>
    <t>ROVER20</t>
  </si>
  <si>
    <t>FTT</t>
  </si>
  <si>
    <t>NESTING</t>
  </si>
  <si>
    <t>TECHNOCHINO</t>
  </si>
  <si>
    <t>TECHNO2</t>
  </si>
  <si>
    <t>VITAP</t>
  </si>
  <si>
    <t>HOTMEL110</t>
  </si>
  <si>
    <t>EMPAQUE</t>
  </si>
  <si>
    <t>HOTMELT220</t>
  </si>
  <si>
    <t>BANDA</t>
  </si>
  <si>
    <t>LUFFATI</t>
  </si>
  <si>
    <t>ALTHENDOR</t>
  </si>
  <si>
    <t>MOLDURAS</t>
  </si>
  <si>
    <t>TROMPO</t>
  </si>
  <si>
    <t>PRENSA</t>
  </si>
  <si>
    <t>VITAP2</t>
  </si>
  <si>
    <t>INNOVATOR</t>
  </si>
  <si>
    <t>CEDI</t>
  </si>
  <si>
    <t>CORTADORA DE TUBO</t>
  </si>
  <si>
    <t>CORTADORA DE TUBO 45</t>
  </si>
  <si>
    <t>MAGGI</t>
  </si>
  <si>
    <t>TROQUELADORA</t>
  </si>
  <si>
    <t>SIN FIN</t>
  </si>
  <si>
    <t>PALETIZADORA</t>
  </si>
  <si>
    <t>ESTIBADOR DE BATERIA</t>
  </si>
  <si>
    <t>TECNICO1</t>
  </si>
  <si>
    <t>TECNICO2</t>
  </si>
  <si>
    <t>WILLIAN DIAZ</t>
  </si>
  <si>
    <t>JAIRO ISAZA</t>
  </si>
  <si>
    <t>DAIRON MENESES</t>
  </si>
  <si>
    <t>LEONARDO ALVAREZ</t>
  </si>
  <si>
    <t>BAYRON LOPEZ</t>
  </si>
  <si>
    <t>HEBERT CHAPUEL</t>
  </si>
  <si>
    <t>ESTEBAN ROSERO</t>
  </si>
  <si>
    <t>BRANDON RAMOS</t>
  </si>
  <si>
    <t>DAVID PANTOJA</t>
  </si>
  <si>
    <t>CARLOS LUGO</t>
  </si>
  <si>
    <t>JULIO DAZA</t>
  </si>
  <si>
    <t>JHOAN MOTATO</t>
  </si>
  <si>
    <t>12:00 AM (00:00)</t>
  </si>
  <si>
    <t>12:05 AM (00:05)</t>
  </si>
  <si>
    <t>12:10 AM (00:10)</t>
  </si>
  <si>
    <t>12:15 AM (00:15)</t>
  </si>
  <si>
    <t>12:20 AM (00:20)</t>
  </si>
  <si>
    <t>12:25 AM (00:25)</t>
  </si>
  <si>
    <t>12:30 AM (00:30)</t>
  </si>
  <si>
    <t>12:35 AM (00:35)</t>
  </si>
  <si>
    <t>12:40 AM (00:40)</t>
  </si>
  <si>
    <t>12:45 AM (00:45)</t>
  </si>
  <si>
    <t>12:50 AM (00:50)</t>
  </si>
  <si>
    <t>12:55 AM (00:55)</t>
  </si>
  <si>
    <t>01:00 AM (01:00)</t>
  </si>
  <si>
    <t>01:05 AM (01:05)</t>
  </si>
  <si>
    <t>01:10 AM (01:10)</t>
  </si>
  <si>
    <t>01:15 AM (01:15)</t>
  </si>
  <si>
    <t>01:20 AM (01:20)</t>
  </si>
  <si>
    <t>01:25 AM (01:25)</t>
  </si>
  <si>
    <t>01:30 AM (01:30)</t>
  </si>
  <si>
    <t>01:35 AM (01:35)</t>
  </si>
  <si>
    <t>01:40 AM (01:40)</t>
  </si>
  <si>
    <t>01:45 AM (01:45)</t>
  </si>
  <si>
    <t>01:50 AM (01:50)</t>
  </si>
  <si>
    <t>01:55 AM (01:55)</t>
  </si>
  <si>
    <t>02:00 AM (02:00)</t>
  </si>
  <si>
    <t>02:05 AM (02:05)</t>
  </si>
  <si>
    <t>02:10 AM (02:10)</t>
  </si>
  <si>
    <t>02:15 AM (02:15)</t>
  </si>
  <si>
    <t>02:20 AM (02:20)</t>
  </si>
  <si>
    <t>02:25 AM (02:25)</t>
  </si>
  <si>
    <t>02:30 AM (02:30)</t>
  </si>
  <si>
    <t>02:35 AM (02:35)</t>
  </si>
  <si>
    <t>02:40 AM (02:40)</t>
  </si>
  <si>
    <t>02:45 AM (02:45)</t>
  </si>
  <si>
    <t>02:50 AM (02:50)</t>
  </si>
  <si>
    <t>02:55 AM (02:55)</t>
  </si>
  <si>
    <t>03:00 AM (03:00)</t>
  </si>
  <si>
    <t>03:05 AM (03:05)</t>
  </si>
  <si>
    <t>03:10 AM (03:10)</t>
  </si>
  <si>
    <t>03:15 AM (03:15)</t>
  </si>
  <si>
    <t>03:20 AM (03:20)</t>
  </si>
  <si>
    <t>03:25 AM (03:25)</t>
  </si>
  <si>
    <t>03:30 AM (03:30)</t>
  </si>
  <si>
    <t>03:35 AM (03:35)</t>
  </si>
  <si>
    <t>03:40 AM (03:40)</t>
  </si>
  <si>
    <t>03:45 AM (03:45)</t>
  </si>
  <si>
    <t>03:50 AM (03:50)</t>
  </si>
  <si>
    <t>03:55 AM (03:55)</t>
  </si>
  <si>
    <t>04:00 AM (04:00)</t>
  </si>
  <si>
    <t>04:05 AM (04:05)</t>
  </si>
  <si>
    <t>04:10 AM (04:10)</t>
  </si>
  <si>
    <t>04:15 AM (04:15)</t>
  </si>
  <si>
    <t>04:20 AM (04:20)</t>
  </si>
  <si>
    <t>04:25 AM (04:25)</t>
  </si>
  <si>
    <t>04:30 AM (04:30)</t>
  </si>
  <si>
    <t>04:35 AM (04:35)</t>
  </si>
  <si>
    <t>04:40 AM (04:40)</t>
  </si>
  <si>
    <t>04:45 AM (04:45)</t>
  </si>
  <si>
    <t>04:50 AM (04:50)</t>
  </si>
  <si>
    <t>04:55 AM (04:55)</t>
  </si>
  <si>
    <t>05:00 AM (05:00)</t>
  </si>
  <si>
    <t>05:05 AM (05:05)</t>
  </si>
  <si>
    <t>05:10 AM (05:10)</t>
  </si>
  <si>
    <t>05:15 AM (05:15)</t>
  </si>
  <si>
    <t>05:20 AM (05:20)</t>
  </si>
  <si>
    <t>05:25 AM (05:25)</t>
  </si>
  <si>
    <t>05:30 AM (05:30)</t>
  </si>
  <si>
    <t>05:35 AM (05:35)</t>
  </si>
  <si>
    <t>05:40 AM (05:40)</t>
  </si>
  <si>
    <t>05:45 AM (05:45)</t>
  </si>
  <si>
    <t>05:50 AM (05:50)</t>
  </si>
  <si>
    <t>05:55 AM (05:55)</t>
  </si>
  <si>
    <t>06:00 AM (06:00)</t>
  </si>
  <si>
    <t>06:05 AM (06:05)</t>
  </si>
  <si>
    <t>06:10 AM (06:10)</t>
  </si>
  <si>
    <t>06:15 AM (06:15)</t>
  </si>
  <si>
    <t>06:20 AM (06:20)</t>
  </si>
  <si>
    <t>06:25 AM (06:25)</t>
  </si>
  <si>
    <t>06:30 AM (06:30)</t>
  </si>
  <si>
    <t>06:35 AM (06:35)</t>
  </si>
  <si>
    <t>06:40 AM (06:40)</t>
  </si>
  <si>
    <t>06:45 AM (06:45)</t>
  </si>
  <si>
    <t>06:50 AM (06:50)</t>
  </si>
  <si>
    <t>06:55 AM (06:55)</t>
  </si>
  <si>
    <t>07:00 AM (07:00)</t>
  </si>
  <si>
    <t>07:05 AM (07:05)</t>
  </si>
  <si>
    <t>07:10 AM (07:10)</t>
  </si>
  <si>
    <t>07:15 AM (07:15)</t>
  </si>
  <si>
    <t>07:20 AM (07:20)</t>
  </si>
  <si>
    <t>07:25 AM (07:25)</t>
  </si>
  <si>
    <t>07:30 AM (07:30)</t>
  </si>
  <si>
    <t>07:35 AM (07:35)</t>
  </si>
  <si>
    <t>07:40 AM (07:40)</t>
  </si>
  <si>
    <t>07:45 AM (07:45)</t>
  </si>
  <si>
    <t>07:50 AM (07:50)</t>
  </si>
  <si>
    <t>07:55 AM (07:55)</t>
  </si>
  <si>
    <t>08:00 AM (08:00)</t>
  </si>
  <si>
    <t>08:05 AM (08:05)</t>
  </si>
  <si>
    <t>08:10 AM (08:10)</t>
  </si>
  <si>
    <t>08:15 AM (08:15)</t>
  </si>
  <si>
    <t>08:20 AM (08:20)</t>
  </si>
  <si>
    <t>08:25 AM (08:25)</t>
  </si>
  <si>
    <t>08:30 AM (08:30)</t>
  </si>
  <si>
    <t>08:35 AM (08:35)</t>
  </si>
  <si>
    <t>08:40 AM (08:40)</t>
  </si>
  <si>
    <t>08:45 AM (08:45)</t>
  </si>
  <si>
    <t>08:50 AM (08:50)</t>
  </si>
  <si>
    <t>08:55 AM (08:55)</t>
  </si>
  <si>
    <t>09:00 AM (09:00)</t>
  </si>
  <si>
    <t>09:05 AM (09:05)</t>
  </si>
  <si>
    <t>09:10 AM (09:10)</t>
  </si>
  <si>
    <t>09:15 AM (09:15)</t>
  </si>
  <si>
    <t>09:20 AM (09:20)</t>
  </si>
  <si>
    <t>09:25 AM (09:25)</t>
  </si>
  <si>
    <t>09:30 AM (09:30)</t>
  </si>
  <si>
    <t>09:35 AM (09:35)</t>
  </si>
  <si>
    <t>09:40 AM (09:40)</t>
  </si>
  <si>
    <t>09:45 AM (09:45)</t>
  </si>
  <si>
    <t>09:50 AM (09:50)</t>
  </si>
  <si>
    <t>09:55 AM (09:55)</t>
  </si>
  <si>
    <t>10:00 AM (10:00)</t>
  </si>
  <si>
    <t>10:05 AM (10:05)</t>
  </si>
  <si>
    <t>10:10 AM (10:10)</t>
  </si>
  <si>
    <t>10:15 AM (10:15)</t>
  </si>
  <si>
    <t>10:20 AM (10:20)</t>
  </si>
  <si>
    <t>10:25 AM (10:25)</t>
  </si>
  <si>
    <t>10:30 AM (10:30)</t>
  </si>
  <si>
    <t>10:35 AM (10:35)</t>
  </si>
  <si>
    <t>10:40 AM (10:40)</t>
  </si>
  <si>
    <t>10:45 AM (10:45)</t>
  </si>
  <si>
    <t>10:50 AM (10:50)</t>
  </si>
  <si>
    <t>10:55 AM (10:55)</t>
  </si>
  <si>
    <t>11:00 AM (11:00)</t>
  </si>
  <si>
    <t>11:05 AM (11:05)</t>
  </si>
  <si>
    <t>11:10 AM (11:10)</t>
  </si>
  <si>
    <t>11:15 AM (11:15)</t>
  </si>
  <si>
    <t>11:20 AM (11:20)</t>
  </si>
  <si>
    <t>11:25 AM (11:25)</t>
  </si>
  <si>
    <t>11:30 AM (11:30)</t>
  </si>
  <si>
    <t>11:35 AM (11:35)</t>
  </si>
  <si>
    <t>11:40 AM (11:40)</t>
  </si>
  <si>
    <t>11:45 AM (11:45)</t>
  </si>
  <si>
    <t>11:50 AM (11:50)</t>
  </si>
  <si>
    <t>11:55 AM (11:55)</t>
  </si>
  <si>
    <t>12:00 PM (12:00)</t>
  </si>
  <si>
    <t>12:05 PM (12:05)</t>
  </si>
  <si>
    <t>12:10 PM (12:10)</t>
  </si>
  <si>
    <t>12:15 PM (12:15)</t>
  </si>
  <si>
    <t>12:20 PM (12:20)</t>
  </si>
  <si>
    <t>12:25 PM (12:25)</t>
  </si>
  <si>
    <t>12:30 PM (12:30)</t>
  </si>
  <si>
    <t>12:35 PM (12:35)</t>
  </si>
  <si>
    <t>12:40 PM (12:40)</t>
  </si>
  <si>
    <t>12:45 PM (12:45)</t>
  </si>
  <si>
    <t>12:50 PM (12:50)</t>
  </si>
  <si>
    <t>12:55 PM (12:55)</t>
  </si>
  <si>
    <t>01:00 PM (13:00)</t>
  </si>
  <si>
    <t>01:05 PM (13:05)</t>
  </si>
  <si>
    <t>01:10 PM (13:10)</t>
  </si>
  <si>
    <t>01:15 PM (13:15)</t>
  </si>
  <si>
    <t>01:20 PM (13:20)</t>
  </si>
  <si>
    <t>01:25 PM (13:25)</t>
  </si>
  <si>
    <t>01:30 PM (13:30)</t>
  </si>
  <si>
    <t>01:35 PM (13:35)</t>
  </si>
  <si>
    <t>01:40 PM (13:40)</t>
  </si>
  <si>
    <t>01:45 PM (13:45)</t>
  </si>
  <si>
    <t>01:50 PM (13:50)</t>
  </si>
  <si>
    <t>01:55 PM (13:55)</t>
  </si>
  <si>
    <t>02:00 PM (14:00)</t>
  </si>
  <si>
    <t>02:05 PM (14:05)</t>
  </si>
  <si>
    <t>02:10 PM (14:10)</t>
  </si>
  <si>
    <t>02:15 PM (14:15)</t>
  </si>
  <si>
    <t>02:20 PM (14:20)</t>
  </si>
  <si>
    <t>02:25 PM (14:25)</t>
  </si>
  <si>
    <t>02:30 PM (14:30)</t>
  </si>
  <si>
    <t>02:35 PM (14:35)</t>
  </si>
  <si>
    <t>02:40 PM (14:40)</t>
  </si>
  <si>
    <t>02:45 PM (14:45)</t>
  </si>
  <si>
    <t>02:50 PM (14:50)</t>
  </si>
  <si>
    <t>02:55 PM (14:55)</t>
  </si>
  <si>
    <t>03:00 PM (15:00)</t>
  </si>
  <si>
    <t>03:05 PM (15:05)</t>
  </si>
  <si>
    <t>03:10 PM (15:10)</t>
  </si>
  <si>
    <t>03:15 PM (15:15)</t>
  </si>
  <si>
    <t>03:20 PM (15:20)</t>
  </si>
  <si>
    <t>03:25 PM (15:25)</t>
  </si>
  <si>
    <t>03:30 PM (15:30)</t>
  </si>
  <si>
    <t>03:35 PM (15:35)</t>
  </si>
  <si>
    <t>03:40 PM (15:40)</t>
  </si>
  <si>
    <t>03:45 PM (15:45)</t>
  </si>
  <si>
    <t>03:50 PM (15:50)</t>
  </si>
  <si>
    <t>03:55 PM (15:55)</t>
  </si>
  <si>
    <t>04:00 PM (16:00)</t>
  </si>
  <si>
    <t>04:05 PM (16:05)</t>
  </si>
  <si>
    <t>04:10 PM (16:10)</t>
  </si>
  <si>
    <t>04:15 PM (16:15)</t>
  </si>
  <si>
    <t>04:20 PM (16:20)</t>
  </si>
  <si>
    <t>04:25 PM (16:25)</t>
  </si>
  <si>
    <t>04:30 PM (16:30)</t>
  </si>
  <si>
    <t>04:35 PM (16:35)</t>
  </si>
  <si>
    <t>04:40 PM (16:40)</t>
  </si>
  <si>
    <t>04:45 PM (16:45)</t>
  </si>
  <si>
    <t>04:50 PM (16:50)</t>
  </si>
  <si>
    <t>04:55 PM (16:55)</t>
  </si>
  <si>
    <t>05:00 PM (17:00)</t>
  </si>
  <si>
    <t>05:05 PM (17:05)</t>
  </si>
  <si>
    <t>05:10 PM (17:10)</t>
  </si>
  <si>
    <t>05:15 PM (17:15)</t>
  </si>
  <si>
    <t>05:20 PM (17:20)</t>
  </si>
  <si>
    <t>05:25 PM (17:25)</t>
  </si>
  <si>
    <t>05:30 PM (17:30)</t>
  </si>
  <si>
    <t>05:35 PM (17:35)</t>
  </si>
  <si>
    <t>05:40 PM (17:40)</t>
  </si>
  <si>
    <t>05:45 PM (17:45)</t>
  </si>
  <si>
    <t>05:50 PM (17:50)</t>
  </si>
  <si>
    <t>05:55 PM (17:55)</t>
  </si>
  <si>
    <t>06:00 PM (18:00)</t>
  </si>
  <si>
    <t>06:05 PM (18:05)</t>
  </si>
  <si>
    <t>06:10 PM (18:10)</t>
  </si>
  <si>
    <t>06:15 PM (18:15)</t>
  </si>
  <si>
    <t>06:20 PM (18:20)</t>
  </si>
  <si>
    <t>06:25 PM (18:25)</t>
  </si>
  <si>
    <t>06:30 PM (18:30)</t>
  </si>
  <si>
    <t>06:35 PM (18:35)</t>
  </si>
  <si>
    <t>06:40 PM (18:40)</t>
  </si>
  <si>
    <t>06:45 PM (18:45)</t>
  </si>
  <si>
    <t>06:50 PM (18:50)</t>
  </si>
  <si>
    <t>06:55 PM (18:55)</t>
  </si>
  <si>
    <t>07:00 PM (19:00)</t>
  </si>
  <si>
    <t>07:05 PM (19:05)</t>
  </si>
  <si>
    <t>07:10 PM (19:10)</t>
  </si>
  <si>
    <t>07:15 PM (19:15)</t>
  </si>
  <si>
    <t>07:20 PM (19:20)</t>
  </si>
  <si>
    <t>07:25 PM (19:25)</t>
  </si>
  <si>
    <t>07:30 PM (19:30)</t>
  </si>
  <si>
    <t>07:35 PM (19:35)</t>
  </si>
  <si>
    <t>07:40 PM (19:40)</t>
  </si>
  <si>
    <t>07:45 PM (19:45)</t>
  </si>
  <si>
    <t>07:50 PM (19:50)</t>
  </si>
  <si>
    <t>07:55 PM (19:55)</t>
  </si>
  <si>
    <t>08:00 PM (20:00)</t>
  </si>
  <si>
    <t>08:05 PM (20:05)</t>
  </si>
  <si>
    <t>08:10 PM (20:10)</t>
  </si>
  <si>
    <t>08:15 PM (20:15)</t>
  </si>
  <si>
    <t>08:20 PM (20:20)</t>
  </si>
  <si>
    <t>08:25 PM (20:25)</t>
  </si>
  <si>
    <t>08:30 PM (20:30)</t>
  </si>
  <si>
    <t>08:35 PM (20:35)</t>
  </si>
  <si>
    <t>08:40 PM (20:40)</t>
  </si>
  <si>
    <t>08:45 PM (20:45)</t>
  </si>
  <si>
    <t>08:50 PM (20:50)</t>
  </si>
  <si>
    <t>08:55 PM (20:55)</t>
  </si>
  <si>
    <t>09:00 PM (21:00)</t>
  </si>
  <si>
    <t>09:05 PM (21:05)</t>
  </si>
  <si>
    <t>09:10 PM (21:10)</t>
  </si>
  <si>
    <t>09:15 PM (21:15)</t>
  </si>
  <si>
    <t>09:20 PM (21:20)</t>
  </si>
  <si>
    <t>09:25 PM (21:25)</t>
  </si>
  <si>
    <t>09:30 PM (21:30)</t>
  </si>
  <si>
    <t>09:35 PM (21:35)</t>
  </si>
  <si>
    <t>09:40 PM (21:40)</t>
  </si>
  <si>
    <t>09:45 PM (21:45)</t>
  </si>
  <si>
    <t>09:50 PM (21:50)</t>
  </si>
  <si>
    <t>09:55 PM (21:55)</t>
  </si>
  <si>
    <t>10:00 PM (22:00)</t>
  </si>
  <si>
    <t>10:05 PM (22:05)</t>
  </si>
  <si>
    <t>10:10 PM (22:10)</t>
  </si>
  <si>
    <t>10:15 PM (22:15)</t>
  </si>
  <si>
    <t>10:20 PM (22:20)</t>
  </si>
  <si>
    <t>10:25 PM (22:25)</t>
  </si>
  <si>
    <t>10:30 PM (22:30)</t>
  </si>
  <si>
    <t>10:35 PM (22:35)</t>
  </si>
  <si>
    <t>10:40 PM (22:40)</t>
  </si>
  <si>
    <t>10:45 PM (22:45)</t>
  </si>
  <si>
    <t>10:50 PM (22:50)</t>
  </si>
  <si>
    <t>10:55 PM (22:55)</t>
  </si>
  <si>
    <t>11:00 PM (23:00)</t>
  </si>
  <si>
    <t>11:05 PM (23:05)</t>
  </si>
  <si>
    <t>11:10 PM (23:10)</t>
  </si>
  <si>
    <t>11:15 PM (23:15)</t>
  </si>
  <si>
    <t>11:20 PM (23:20)</t>
  </si>
  <si>
    <t>11:25 PM (23:25)</t>
  </si>
  <si>
    <t>11:30 PM (23:30)</t>
  </si>
  <si>
    <t>11:35 PM (23:35)</t>
  </si>
  <si>
    <t>11:40 PM (23:40)</t>
  </si>
  <si>
    <t>11:45 PM (23:45)</t>
  </si>
  <si>
    <t>11:50 PM (23:50)</t>
  </si>
  <si>
    <t>11:55 PM (23:55)</t>
  </si>
  <si>
    <t>HORA INICIO</t>
  </si>
  <si>
    <t>HORA FIN</t>
  </si>
  <si>
    <t>TIEMPO REAL</t>
  </si>
  <si>
    <t>NUMERO DE SOLICITUD</t>
  </si>
  <si>
    <t>DAÑO</t>
  </si>
  <si>
    <t>REPARACION</t>
  </si>
  <si>
    <t>TECNICO 1</t>
  </si>
  <si>
    <t>TECNICO3</t>
  </si>
  <si>
    <t>QUIEN REPARA</t>
  </si>
  <si>
    <t>REPUESTOS ITEM 1</t>
  </si>
  <si>
    <t>REPUESTOS ITEM 2</t>
  </si>
  <si>
    <t>REPUESTOS ITEM 3</t>
  </si>
  <si>
    <t>REPUESTOS ITEM 4</t>
  </si>
  <si>
    <t>CANTIDAD 1</t>
  </si>
  <si>
    <t>DESCRIPCION 1</t>
  </si>
  <si>
    <t>CANTIDAD 2</t>
  </si>
  <si>
    <t>DESCRIPCION 2</t>
  </si>
  <si>
    <t>CANTIDAD 3</t>
  </si>
  <si>
    <t>DESCRIPCION 3</t>
  </si>
  <si>
    <t>CANTIDAD 4</t>
  </si>
  <si>
    <t>DESCRIPCION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</si>
</sst>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hh:mm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2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2" borderId="0" xfId="0" applyFont="1" applyFill="1"/>
    <xf numFmtId="0" fontId="3" fillId="2" borderId="0" xfId="0" applyFont="1" applyFill="1" applyAlignment="1">
      <alignment horizontal="center" wrapText="1"/>
    </xf>
    <xf numFmtId="0" fontId="1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49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8F7B21-128A-4FEA-8B83-261274B8925D}" name="Tabla1" displayName="Tabla1" ref="A1:B13" totalsRowShown="0" headerRowDxfId="0">
  <autoFilter ref="A1:B13" xr:uid="{AE8F7B21-128A-4FEA-8B83-261274B8925D}"/>
  <tableColumns count="2">
    <tableColumn id="1" xr3:uid="{78FFA040-793C-480F-85D8-318405DBE9D1}" name="TECNICO1"/>
    <tableColumn id="2" xr3:uid="{07B0C5F1-392E-4212-91E7-363E86761D8B}" name="TECNICO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8D53-CDA4-4E08-9907-16DC5710078F}">
  <dimension ref="A1:B55"/>
  <sheetViews>
    <sheetView workbookViewId="0">
      <selection activeCell="C5" sqref="C5"/>
    </sheetView>
  </sheetViews>
  <sheetFormatPr baseColWidth="10" defaultColWidth="9.140625" defaultRowHeight="15" x14ac:dyDescent="0.25"/>
  <cols>
    <col min="1" max="1" width="24" customWidth="1"/>
    <col min="2" max="2" width="16.140625" customWidth="1"/>
    <col min="3" max="3" width="29.28515625" customWidth="1"/>
  </cols>
  <sheetData>
    <row r="1" spans="1:2" ht="18.75" x14ac:dyDescent="0.3">
      <c r="A1" s="2" t="s">
        <v>0</v>
      </c>
      <c r="B1" s="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3</v>
      </c>
    </row>
    <row r="5" spans="1:2" x14ac:dyDescent="0.25">
      <c r="A5" t="s">
        <v>5</v>
      </c>
      <c r="B5" t="s">
        <v>3</v>
      </c>
    </row>
    <row r="6" spans="1:2" x14ac:dyDescent="0.25">
      <c r="A6" t="s">
        <v>6</v>
      </c>
      <c r="B6" t="s">
        <v>3</v>
      </c>
    </row>
    <row r="7" spans="1:2" x14ac:dyDescent="0.25">
      <c r="A7" t="s">
        <v>7</v>
      </c>
      <c r="B7" t="s">
        <v>3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9</v>
      </c>
    </row>
    <row r="11" spans="1:2" x14ac:dyDescent="0.25">
      <c r="A11" t="s">
        <v>11</v>
      </c>
      <c r="B11" t="s">
        <v>9</v>
      </c>
    </row>
    <row r="12" spans="1:2" x14ac:dyDescent="0.25">
      <c r="A12" t="s">
        <v>12</v>
      </c>
      <c r="B12" t="s">
        <v>9</v>
      </c>
    </row>
    <row r="13" spans="1:2" x14ac:dyDescent="0.25">
      <c r="A13" t="s">
        <v>13</v>
      </c>
      <c r="B13" t="s">
        <v>9</v>
      </c>
    </row>
    <row r="14" spans="1:2" x14ac:dyDescent="0.25">
      <c r="A14" t="s">
        <v>14</v>
      </c>
      <c r="B14" t="s">
        <v>9</v>
      </c>
    </row>
    <row r="15" spans="1:2" x14ac:dyDescent="0.25">
      <c r="A15" t="s">
        <v>15</v>
      </c>
      <c r="B15" t="s">
        <v>9</v>
      </c>
    </row>
    <row r="16" spans="1:2" x14ac:dyDescent="0.25">
      <c r="A16" t="s">
        <v>16</v>
      </c>
      <c r="B16" t="s">
        <v>9</v>
      </c>
    </row>
    <row r="17" spans="1:2" x14ac:dyDescent="0.25">
      <c r="A17" t="s">
        <v>17</v>
      </c>
      <c r="B17" t="s">
        <v>9</v>
      </c>
    </row>
    <row r="18" spans="1:2" x14ac:dyDescent="0.25">
      <c r="A18" t="s">
        <v>18</v>
      </c>
      <c r="B18" t="s">
        <v>9</v>
      </c>
    </row>
    <row r="19" spans="1:2" x14ac:dyDescent="0.25">
      <c r="A19" t="s">
        <v>19</v>
      </c>
      <c r="B19" t="s">
        <v>9</v>
      </c>
    </row>
    <row r="21" spans="1:2" x14ac:dyDescent="0.25">
      <c r="A21" t="s">
        <v>20</v>
      </c>
      <c r="B21" t="s">
        <v>21</v>
      </c>
    </row>
    <row r="22" spans="1:2" x14ac:dyDescent="0.25">
      <c r="A22" t="s">
        <v>22</v>
      </c>
      <c r="B22" t="s">
        <v>21</v>
      </c>
    </row>
    <row r="23" spans="1:2" x14ac:dyDescent="0.25">
      <c r="A23" t="s">
        <v>23</v>
      </c>
      <c r="B23" t="s">
        <v>21</v>
      </c>
    </row>
    <row r="24" spans="1:2" x14ac:dyDescent="0.25">
      <c r="A24" t="s">
        <v>24</v>
      </c>
      <c r="B24" t="s">
        <v>21</v>
      </c>
    </row>
    <row r="25" spans="1:2" x14ac:dyDescent="0.25">
      <c r="A25" t="s">
        <v>25</v>
      </c>
      <c r="B25" t="s">
        <v>21</v>
      </c>
    </row>
    <row r="26" spans="1:2" x14ac:dyDescent="0.25">
      <c r="A26" t="s">
        <v>26</v>
      </c>
      <c r="B26" t="s">
        <v>21</v>
      </c>
    </row>
    <row r="27" spans="1:2" x14ac:dyDescent="0.25">
      <c r="A27" t="s">
        <v>27</v>
      </c>
      <c r="B27" t="s">
        <v>21</v>
      </c>
    </row>
    <row r="28" spans="1:2" x14ac:dyDescent="0.25">
      <c r="A28" t="s">
        <v>28</v>
      </c>
      <c r="B28" t="s">
        <v>21</v>
      </c>
    </row>
    <row r="29" spans="1:2" x14ac:dyDescent="0.25">
      <c r="A29" t="s">
        <v>29</v>
      </c>
      <c r="B29" t="s">
        <v>21</v>
      </c>
    </row>
    <row r="30" spans="1:2" x14ac:dyDescent="0.25">
      <c r="A30" t="s">
        <v>30</v>
      </c>
      <c r="B30" t="s">
        <v>21</v>
      </c>
    </row>
    <row r="31" spans="1:2" x14ac:dyDescent="0.25">
      <c r="A31" t="s">
        <v>31</v>
      </c>
      <c r="B31" t="s">
        <v>21</v>
      </c>
    </row>
    <row r="32" spans="1:2" x14ac:dyDescent="0.25">
      <c r="A32" t="s">
        <v>32</v>
      </c>
      <c r="B32" t="s">
        <v>21</v>
      </c>
    </row>
    <row r="33" spans="1:2" x14ac:dyDescent="0.25">
      <c r="A33" t="s">
        <v>33</v>
      </c>
      <c r="B33" t="s">
        <v>21</v>
      </c>
    </row>
    <row r="34" spans="1:2" x14ac:dyDescent="0.25">
      <c r="A34" t="s">
        <v>34</v>
      </c>
      <c r="B34" t="s">
        <v>21</v>
      </c>
    </row>
    <row r="35" spans="1:2" x14ac:dyDescent="0.25">
      <c r="A35" t="s">
        <v>35</v>
      </c>
      <c r="B35" t="s">
        <v>21</v>
      </c>
    </row>
    <row r="36" spans="1:2" x14ac:dyDescent="0.25">
      <c r="A36" t="s">
        <v>36</v>
      </c>
      <c r="B36" t="s">
        <v>21</v>
      </c>
    </row>
    <row r="38" spans="1:2" x14ac:dyDescent="0.25">
      <c r="A38" t="s">
        <v>37</v>
      </c>
      <c r="B38" t="s">
        <v>38</v>
      </c>
    </row>
    <row r="39" spans="1:2" x14ac:dyDescent="0.25">
      <c r="A39" t="s">
        <v>39</v>
      </c>
      <c r="B39" t="s">
        <v>38</v>
      </c>
    </row>
    <row r="40" spans="1:2" x14ac:dyDescent="0.25">
      <c r="A40" t="s">
        <v>40</v>
      </c>
      <c r="B40" t="s">
        <v>38</v>
      </c>
    </row>
    <row r="41" spans="1:2" x14ac:dyDescent="0.25">
      <c r="A41" t="s">
        <v>41</v>
      </c>
      <c r="B41" t="s">
        <v>38</v>
      </c>
    </row>
    <row r="43" spans="1:2" x14ac:dyDescent="0.25">
      <c r="A43" t="s">
        <v>42</v>
      </c>
      <c r="B43" t="s">
        <v>43</v>
      </c>
    </row>
    <row r="44" spans="1:2" x14ac:dyDescent="0.25">
      <c r="A44" t="s">
        <v>44</v>
      </c>
      <c r="B44" t="s">
        <v>43</v>
      </c>
    </row>
    <row r="45" spans="1:2" x14ac:dyDescent="0.25">
      <c r="A45" t="s">
        <v>45</v>
      </c>
      <c r="B45" t="s">
        <v>43</v>
      </c>
    </row>
    <row r="46" spans="1:2" x14ac:dyDescent="0.25">
      <c r="A46" t="s">
        <v>46</v>
      </c>
      <c r="B46" t="s">
        <v>43</v>
      </c>
    </row>
    <row r="48" spans="1:2" x14ac:dyDescent="0.25">
      <c r="A48" t="s">
        <v>47</v>
      </c>
      <c r="B48" t="s">
        <v>48</v>
      </c>
    </row>
    <row r="49" spans="1:2" x14ac:dyDescent="0.25">
      <c r="A49" t="s">
        <v>49</v>
      </c>
      <c r="B49" t="s">
        <v>48</v>
      </c>
    </row>
    <row r="50" spans="1:2" x14ac:dyDescent="0.25">
      <c r="A50" t="s">
        <v>50</v>
      </c>
      <c r="B50" t="s">
        <v>48</v>
      </c>
    </row>
    <row r="51" spans="1:2" x14ac:dyDescent="0.25">
      <c r="A51" t="s">
        <v>51</v>
      </c>
      <c r="B51" t="s">
        <v>48</v>
      </c>
    </row>
    <row r="52" spans="1:2" x14ac:dyDescent="0.25">
      <c r="A52" t="s">
        <v>52</v>
      </c>
      <c r="B52" t="s">
        <v>48</v>
      </c>
    </row>
    <row r="53" spans="1:2" x14ac:dyDescent="0.25">
      <c r="A53" t="s">
        <v>53</v>
      </c>
      <c r="B53" t="s">
        <v>48</v>
      </c>
    </row>
    <row r="54" spans="1:2" x14ac:dyDescent="0.25">
      <c r="A54" t="s">
        <v>54</v>
      </c>
      <c r="B54" t="s">
        <v>48</v>
      </c>
    </row>
    <row r="55" spans="1:2" x14ac:dyDescent="0.25">
      <c r="A55" t="s">
        <v>55</v>
      </c>
      <c r="B55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098E-C9EC-4567-BCA0-AC6E6642A945}">
  <dimension ref="A1:B13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19.7109375" customWidth="1"/>
    <col min="2" max="2" width="14" customWidth="1"/>
  </cols>
  <sheetData>
    <row r="1" spans="1:2" x14ac:dyDescent="0.25">
      <c r="A1" s="1" t="s">
        <v>56</v>
      </c>
      <c r="B1" s="1" t="s">
        <v>57</v>
      </c>
    </row>
    <row r="2" spans="1:2" x14ac:dyDescent="0.25">
      <c r="A2" t="s">
        <v>58</v>
      </c>
    </row>
    <row r="3" spans="1:2" x14ac:dyDescent="0.25">
      <c r="A3" t="s">
        <v>59</v>
      </c>
    </row>
    <row r="4" spans="1:2" x14ac:dyDescent="0.25">
      <c r="A4" t="s">
        <v>60</v>
      </c>
    </row>
    <row r="5" spans="1:2" x14ac:dyDescent="0.25">
      <c r="A5" t="s">
        <v>61</v>
      </c>
    </row>
    <row r="6" spans="1:2" x14ac:dyDescent="0.25">
      <c r="A6" t="s">
        <v>62</v>
      </c>
    </row>
    <row r="7" spans="1:2" x14ac:dyDescent="0.25">
      <c r="A7" t="s">
        <v>63</v>
      </c>
    </row>
    <row r="8" spans="1:2" x14ac:dyDescent="0.25">
      <c r="A8" t="s">
        <v>64</v>
      </c>
    </row>
    <row r="9" spans="1:2" x14ac:dyDescent="0.25">
      <c r="A9" t="s">
        <v>65</v>
      </c>
    </row>
    <row r="10" spans="1:2" x14ac:dyDescent="0.25">
      <c r="A10" t="s">
        <v>66</v>
      </c>
    </row>
    <row r="11" spans="1:2" x14ac:dyDescent="0.25">
      <c r="A11" t="s">
        <v>67</v>
      </c>
    </row>
    <row r="12" spans="1:2" x14ac:dyDescent="0.25">
      <c r="A12" t="s">
        <v>68</v>
      </c>
    </row>
    <row r="13" spans="1:2" x14ac:dyDescent="0.25">
      <c r="A13" t="s">
        <v>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E1F8-2089-415C-A3EB-72F75227810F}">
  <dimension ref="A1:D1440"/>
  <sheetViews>
    <sheetView workbookViewId="0"/>
  </sheetViews>
  <sheetFormatPr baseColWidth="10" defaultColWidth="9.140625" defaultRowHeight="15" x14ac:dyDescent="0.25"/>
  <cols>
    <col min="1" max="1" width="13.28515625" customWidth="1"/>
    <col min="3" max="3" width="9.5703125" bestFit="1" customWidth="1"/>
  </cols>
  <sheetData>
    <row r="1" spans="1:4" x14ac:dyDescent="0.25">
      <c r="A1" s="3">
        <v>0</v>
      </c>
      <c r="B1" t="s">
        <v>70</v>
      </c>
      <c r="C1" s="5">
        <v>0</v>
      </c>
      <c r="D1" t="s">
        <v>2</v>
      </c>
    </row>
    <row r="2" spans="1:4" x14ac:dyDescent="0.25">
      <c r="A2" s="3">
        <v>3.472222222222222E-3</v>
      </c>
      <c r="B2" t="s">
        <v>71</v>
      </c>
      <c r="C2" s="5">
        <v>6.9444444444444447E-4</v>
      </c>
      <c r="D2" t="s">
        <v>4</v>
      </c>
    </row>
    <row r="3" spans="1:4" x14ac:dyDescent="0.25">
      <c r="A3" s="3">
        <v>6.9444444444444441E-3</v>
      </c>
      <c r="B3" t="s">
        <v>72</v>
      </c>
      <c r="C3" s="5">
        <v>1.3888888888888889E-3</v>
      </c>
      <c r="D3" t="s">
        <v>5</v>
      </c>
    </row>
    <row r="4" spans="1:4" x14ac:dyDescent="0.25">
      <c r="A4" s="3">
        <v>1.0416666666666666E-2</v>
      </c>
      <c r="B4" t="s">
        <v>73</v>
      </c>
      <c r="C4" s="5">
        <v>2.0833333333333333E-3</v>
      </c>
      <c r="D4" t="s">
        <v>6</v>
      </c>
    </row>
    <row r="5" spans="1:4" x14ac:dyDescent="0.25">
      <c r="A5" s="3">
        <v>1.3888888888888888E-2</v>
      </c>
      <c r="B5" t="s">
        <v>74</v>
      </c>
      <c r="C5" s="5">
        <v>2.7777777777777779E-3</v>
      </c>
      <c r="D5" t="s">
        <v>7</v>
      </c>
    </row>
    <row r="6" spans="1:4" x14ac:dyDescent="0.25">
      <c r="A6" s="3">
        <v>1.7361111111111112E-2</v>
      </c>
      <c r="B6" t="s">
        <v>75</v>
      </c>
      <c r="C6" s="5">
        <v>3.472222222222222E-3</v>
      </c>
      <c r="D6" t="s">
        <v>8</v>
      </c>
    </row>
    <row r="7" spans="1:4" x14ac:dyDescent="0.25">
      <c r="A7" s="3">
        <v>2.0833333333333332E-2</v>
      </c>
      <c r="B7" t="s">
        <v>76</v>
      </c>
      <c r="C7" s="5">
        <v>4.1666666666666666E-3</v>
      </c>
      <c r="D7" t="s">
        <v>10</v>
      </c>
    </row>
    <row r="8" spans="1:4" x14ac:dyDescent="0.25">
      <c r="A8" s="3">
        <v>2.4305555555555556E-2</v>
      </c>
      <c r="B8" t="s">
        <v>77</v>
      </c>
      <c r="C8" s="5">
        <v>4.8611111111111112E-3</v>
      </c>
      <c r="D8" t="s">
        <v>11</v>
      </c>
    </row>
    <row r="9" spans="1:4" x14ac:dyDescent="0.25">
      <c r="A9" s="3">
        <v>2.7777777777777776E-2</v>
      </c>
      <c r="B9" t="s">
        <v>78</v>
      </c>
      <c r="C9" s="5">
        <v>5.5555555555555558E-3</v>
      </c>
      <c r="D9" t="s">
        <v>12</v>
      </c>
    </row>
    <row r="10" spans="1:4" x14ac:dyDescent="0.25">
      <c r="A10" s="3">
        <v>3.125E-2</v>
      </c>
      <c r="B10" t="s">
        <v>79</v>
      </c>
      <c r="C10" s="5">
        <v>6.2500000000000003E-3</v>
      </c>
      <c r="D10" t="s">
        <v>13</v>
      </c>
    </row>
    <row r="11" spans="1:4" x14ac:dyDescent="0.25">
      <c r="A11" s="3">
        <v>3.4722222222222224E-2</v>
      </c>
      <c r="B11" t="s">
        <v>80</v>
      </c>
      <c r="C11" s="5">
        <v>6.9444444444444441E-3</v>
      </c>
      <c r="D11" t="s">
        <v>14</v>
      </c>
    </row>
    <row r="12" spans="1:4" x14ac:dyDescent="0.25">
      <c r="A12" s="3">
        <v>3.8194444444444448E-2</v>
      </c>
      <c r="B12" t="s">
        <v>81</v>
      </c>
      <c r="C12" s="5">
        <v>7.6388888888888886E-3</v>
      </c>
      <c r="D12" t="s">
        <v>15</v>
      </c>
    </row>
    <row r="13" spans="1:4" x14ac:dyDescent="0.25">
      <c r="A13" s="3">
        <v>4.1666666666666664E-2</v>
      </c>
      <c r="B13" t="s">
        <v>82</v>
      </c>
      <c r="C13" s="5">
        <v>8.3333333333333332E-3</v>
      </c>
      <c r="D13" t="s">
        <v>16</v>
      </c>
    </row>
    <row r="14" spans="1:4" x14ac:dyDescent="0.25">
      <c r="A14" s="3">
        <v>4.5138888888888888E-2</v>
      </c>
      <c r="B14" t="s">
        <v>83</v>
      </c>
      <c r="C14" s="5">
        <v>9.0277777777777769E-3</v>
      </c>
      <c r="D14" t="s">
        <v>17</v>
      </c>
    </row>
    <row r="15" spans="1:4" x14ac:dyDescent="0.25">
      <c r="A15" s="3">
        <v>4.8611111111111112E-2</v>
      </c>
      <c r="B15" t="s">
        <v>84</v>
      </c>
      <c r="C15" s="5">
        <v>9.7222222222222224E-3</v>
      </c>
      <c r="D15" t="s">
        <v>18</v>
      </c>
    </row>
    <row r="16" spans="1:4" x14ac:dyDescent="0.25">
      <c r="A16" s="3">
        <v>5.2083333333333336E-2</v>
      </c>
      <c r="B16" t="s">
        <v>85</v>
      </c>
      <c r="C16" s="5">
        <v>1.0416666666666666E-2</v>
      </c>
      <c r="D16" t="s">
        <v>19</v>
      </c>
    </row>
    <row r="17" spans="1:4" x14ac:dyDescent="0.25">
      <c r="A17" s="3">
        <v>5.5555555555555552E-2</v>
      </c>
      <c r="B17" t="s">
        <v>86</v>
      </c>
      <c r="C17" s="5">
        <v>1.1111111111111112E-2</v>
      </c>
      <c r="D17" t="s">
        <v>20</v>
      </c>
    </row>
    <row r="18" spans="1:4" x14ac:dyDescent="0.25">
      <c r="A18" s="3">
        <v>5.9027777777777776E-2</v>
      </c>
      <c r="B18" t="s">
        <v>87</v>
      </c>
      <c r="C18" s="5">
        <v>1.1805555555555555E-2</v>
      </c>
      <c r="D18" t="s">
        <v>22</v>
      </c>
    </row>
    <row r="19" spans="1:4" x14ac:dyDescent="0.25">
      <c r="A19" s="3">
        <v>6.25E-2</v>
      </c>
      <c r="B19" t="s">
        <v>88</v>
      </c>
      <c r="C19" s="5">
        <v>1.2500000000000001E-2</v>
      </c>
      <c r="D19" t="s">
        <v>23</v>
      </c>
    </row>
    <row r="20" spans="1:4" x14ac:dyDescent="0.25">
      <c r="A20" s="3">
        <v>6.5972222222222224E-2</v>
      </c>
      <c r="B20" t="s">
        <v>89</v>
      </c>
      <c r="C20" s="5">
        <v>1.3194444444444444E-2</v>
      </c>
      <c r="D20" t="s">
        <v>24</v>
      </c>
    </row>
    <row r="21" spans="1:4" x14ac:dyDescent="0.25">
      <c r="A21" s="3">
        <v>6.9444444444444448E-2</v>
      </c>
      <c r="B21" t="s">
        <v>90</v>
      </c>
      <c r="C21" s="5">
        <v>1.3888888888888888E-2</v>
      </c>
      <c r="D21" t="s">
        <v>25</v>
      </c>
    </row>
    <row r="22" spans="1:4" x14ac:dyDescent="0.25">
      <c r="A22" s="3">
        <v>7.2916666666666671E-2</v>
      </c>
      <c r="B22" t="s">
        <v>91</v>
      </c>
      <c r="C22" s="5">
        <v>1.4583333333333334E-2</v>
      </c>
      <c r="D22" t="s">
        <v>26</v>
      </c>
    </row>
    <row r="23" spans="1:4" x14ac:dyDescent="0.25">
      <c r="A23" s="3">
        <v>7.6388888888888895E-2</v>
      </c>
      <c r="B23" t="s">
        <v>92</v>
      </c>
      <c r="C23" s="5">
        <v>1.5277777777777777E-2</v>
      </c>
      <c r="D23" t="s">
        <v>27</v>
      </c>
    </row>
    <row r="24" spans="1:4" x14ac:dyDescent="0.25">
      <c r="A24" s="3">
        <v>7.9861111111111105E-2</v>
      </c>
      <c r="B24" t="s">
        <v>93</v>
      </c>
      <c r="C24" s="5">
        <v>1.5972222222222221E-2</v>
      </c>
      <c r="D24" t="s">
        <v>28</v>
      </c>
    </row>
    <row r="25" spans="1:4" x14ac:dyDescent="0.25">
      <c r="A25" s="3">
        <v>8.3333333333333329E-2</v>
      </c>
      <c r="B25" t="s">
        <v>94</v>
      </c>
      <c r="C25" s="5">
        <v>1.6666666666666666E-2</v>
      </c>
      <c r="D25" t="s">
        <v>29</v>
      </c>
    </row>
    <row r="26" spans="1:4" x14ac:dyDescent="0.25">
      <c r="A26" s="3">
        <v>8.6805555555555552E-2</v>
      </c>
      <c r="B26" t="s">
        <v>95</v>
      </c>
      <c r="C26" s="5">
        <v>1.7361111111111112E-2</v>
      </c>
      <c r="D26" t="s">
        <v>30</v>
      </c>
    </row>
    <row r="27" spans="1:4" x14ac:dyDescent="0.25">
      <c r="A27" s="3">
        <v>9.0277777777777776E-2</v>
      </c>
      <c r="B27" t="s">
        <v>96</v>
      </c>
      <c r="C27" s="5">
        <v>1.8055555555555554E-2</v>
      </c>
      <c r="D27" t="s">
        <v>31</v>
      </c>
    </row>
    <row r="28" spans="1:4" x14ac:dyDescent="0.25">
      <c r="A28" s="3">
        <v>9.375E-2</v>
      </c>
      <c r="B28" t="s">
        <v>97</v>
      </c>
      <c r="C28" s="5">
        <v>1.8749999999999999E-2</v>
      </c>
      <c r="D28" t="s">
        <v>32</v>
      </c>
    </row>
    <row r="29" spans="1:4" x14ac:dyDescent="0.25">
      <c r="A29" s="3">
        <v>9.7222222222222224E-2</v>
      </c>
      <c r="B29" t="s">
        <v>98</v>
      </c>
      <c r="C29" s="5">
        <v>1.9444444444444445E-2</v>
      </c>
      <c r="D29" t="s">
        <v>33</v>
      </c>
    </row>
    <row r="30" spans="1:4" x14ac:dyDescent="0.25">
      <c r="A30" s="3">
        <v>0.10069444444444445</v>
      </c>
      <c r="B30" t="s">
        <v>99</v>
      </c>
      <c r="C30" s="5">
        <v>2.013888888888889E-2</v>
      </c>
      <c r="D30" t="s">
        <v>34</v>
      </c>
    </row>
    <row r="31" spans="1:4" x14ac:dyDescent="0.25">
      <c r="A31" s="3">
        <v>0.10416666666666667</v>
      </c>
      <c r="B31" t="s">
        <v>100</v>
      </c>
      <c r="C31" s="5">
        <v>2.0833333333333332E-2</v>
      </c>
      <c r="D31" t="s">
        <v>35</v>
      </c>
    </row>
    <row r="32" spans="1:4" x14ac:dyDescent="0.25">
      <c r="A32" s="3">
        <v>0.1076388888888889</v>
      </c>
      <c r="B32" t="s">
        <v>101</v>
      </c>
      <c r="C32" s="5">
        <v>2.1527777777777778E-2</v>
      </c>
      <c r="D32" t="s">
        <v>36</v>
      </c>
    </row>
    <row r="33" spans="1:4" x14ac:dyDescent="0.25">
      <c r="A33" s="3">
        <v>0.1111111111111111</v>
      </c>
      <c r="B33" t="s">
        <v>102</v>
      </c>
      <c r="C33" s="5">
        <v>2.2222222222222223E-2</v>
      </c>
      <c r="D33" t="s">
        <v>37</v>
      </c>
    </row>
    <row r="34" spans="1:4" x14ac:dyDescent="0.25">
      <c r="A34" s="3">
        <v>0.11458333333333333</v>
      </c>
      <c r="B34" t="s">
        <v>103</v>
      </c>
      <c r="C34" s="5">
        <v>2.2916666666666665E-2</v>
      </c>
      <c r="D34" t="s">
        <v>39</v>
      </c>
    </row>
    <row r="35" spans="1:4" x14ac:dyDescent="0.25">
      <c r="A35" s="3">
        <v>0.11805555555555555</v>
      </c>
      <c r="B35" t="s">
        <v>104</v>
      </c>
      <c r="C35" s="5">
        <v>2.361111111111111E-2</v>
      </c>
      <c r="D35" t="s">
        <v>40</v>
      </c>
    </row>
    <row r="36" spans="1:4" x14ac:dyDescent="0.25">
      <c r="A36" s="3">
        <v>0.12152777777777778</v>
      </c>
      <c r="B36" t="s">
        <v>105</v>
      </c>
      <c r="C36" s="5">
        <v>2.4305555555555556E-2</v>
      </c>
      <c r="D36" t="s">
        <v>41</v>
      </c>
    </row>
    <row r="37" spans="1:4" x14ac:dyDescent="0.25">
      <c r="A37" s="3">
        <v>0.125</v>
      </c>
      <c r="B37" t="s">
        <v>106</v>
      </c>
      <c r="C37" s="5">
        <v>2.5000000000000001E-2</v>
      </c>
      <c r="D37" t="s">
        <v>42</v>
      </c>
    </row>
    <row r="38" spans="1:4" x14ac:dyDescent="0.25">
      <c r="A38" s="3">
        <v>0.12847222222222221</v>
      </c>
      <c r="B38" t="s">
        <v>107</v>
      </c>
      <c r="C38" s="5">
        <v>2.5694444444444443E-2</v>
      </c>
      <c r="D38" t="s">
        <v>44</v>
      </c>
    </row>
    <row r="39" spans="1:4" x14ac:dyDescent="0.25">
      <c r="A39" s="3">
        <v>0.13194444444444445</v>
      </c>
      <c r="B39" t="s">
        <v>108</v>
      </c>
      <c r="C39" s="5">
        <v>2.6388888888888889E-2</v>
      </c>
      <c r="D39" t="s">
        <v>45</v>
      </c>
    </row>
    <row r="40" spans="1:4" x14ac:dyDescent="0.25">
      <c r="A40" s="3">
        <v>0.13541666666666666</v>
      </c>
      <c r="B40" t="s">
        <v>109</v>
      </c>
      <c r="C40" s="5">
        <v>2.7083333333333334E-2</v>
      </c>
      <c r="D40" t="s">
        <v>46</v>
      </c>
    </row>
    <row r="41" spans="1:4" x14ac:dyDescent="0.25">
      <c r="A41" s="3">
        <v>0.1388888888888889</v>
      </c>
      <c r="B41" t="s">
        <v>110</v>
      </c>
      <c r="C41" s="5">
        <v>2.7777777777777776E-2</v>
      </c>
      <c r="D41" t="s">
        <v>47</v>
      </c>
    </row>
    <row r="42" spans="1:4" x14ac:dyDescent="0.25">
      <c r="A42" s="3">
        <v>0.1423611111111111</v>
      </c>
      <c r="B42" t="s">
        <v>111</v>
      </c>
      <c r="C42" s="5">
        <v>2.8472222222222222E-2</v>
      </c>
      <c r="D42" t="s">
        <v>49</v>
      </c>
    </row>
    <row r="43" spans="1:4" x14ac:dyDescent="0.25">
      <c r="A43" s="3">
        <v>0.14583333333333334</v>
      </c>
      <c r="B43" t="s">
        <v>112</v>
      </c>
      <c r="C43" s="5">
        <v>2.9166666666666667E-2</v>
      </c>
      <c r="D43" t="s">
        <v>50</v>
      </c>
    </row>
    <row r="44" spans="1:4" x14ac:dyDescent="0.25">
      <c r="A44" s="3">
        <v>0.14930555555555555</v>
      </c>
      <c r="B44" t="s">
        <v>113</v>
      </c>
      <c r="C44" s="5">
        <v>2.9861111111111113E-2</v>
      </c>
      <c r="D44" t="s">
        <v>51</v>
      </c>
    </row>
    <row r="45" spans="1:4" x14ac:dyDescent="0.25">
      <c r="A45" s="3">
        <v>0.15277777777777779</v>
      </c>
      <c r="B45" t="s">
        <v>114</v>
      </c>
      <c r="C45" s="5">
        <v>3.0555555555555555E-2</v>
      </c>
      <c r="D45" t="s">
        <v>52</v>
      </c>
    </row>
    <row r="46" spans="1:4" x14ac:dyDescent="0.25">
      <c r="A46" s="3">
        <v>0.15625</v>
      </c>
      <c r="B46" t="s">
        <v>115</v>
      </c>
      <c r="C46" s="5">
        <v>3.125E-2</v>
      </c>
      <c r="D46" t="s">
        <v>53</v>
      </c>
    </row>
    <row r="47" spans="1:4" x14ac:dyDescent="0.25">
      <c r="A47" s="3">
        <v>0.15972222222222221</v>
      </c>
      <c r="B47" t="s">
        <v>116</v>
      </c>
      <c r="C47" s="5">
        <v>3.1944444444444442E-2</v>
      </c>
      <c r="D47" t="s">
        <v>54</v>
      </c>
    </row>
    <row r="48" spans="1:4" x14ac:dyDescent="0.25">
      <c r="A48" s="3">
        <v>0.16319444444444445</v>
      </c>
      <c r="B48" t="s">
        <v>117</v>
      </c>
      <c r="C48" s="5">
        <v>3.2638888888888891E-2</v>
      </c>
      <c r="D48" t="s">
        <v>55</v>
      </c>
    </row>
    <row r="49" spans="1:3" x14ac:dyDescent="0.25">
      <c r="A49" s="3">
        <v>0.16666666666666666</v>
      </c>
      <c r="B49" t="s">
        <v>118</v>
      </c>
      <c r="C49" s="5">
        <v>3.3333333333333333E-2</v>
      </c>
    </row>
    <row r="50" spans="1:3" x14ac:dyDescent="0.25">
      <c r="A50" s="3">
        <v>0.1701388888888889</v>
      </c>
      <c r="B50" t="s">
        <v>119</v>
      </c>
      <c r="C50" s="5">
        <v>3.4027777777777775E-2</v>
      </c>
    </row>
    <row r="51" spans="1:3" x14ac:dyDescent="0.25">
      <c r="A51" s="3">
        <v>0.1736111111111111</v>
      </c>
      <c r="B51" t="s">
        <v>120</v>
      </c>
      <c r="C51" s="5">
        <v>3.4722222222222224E-2</v>
      </c>
    </row>
    <row r="52" spans="1:3" x14ac:dyDescent="0.25">
      <c r="A52" s="3">
        <v>0.17708333333333334</v>
      </c>
      <c r="B52" t="s">
        <v>121</v>
      </c>
      <c r="C52" s="5">
        <v>3.5416666666666666E-2</v>
      </c>
    </row>
    <row r="53" spans="1:3" x14ac:dyDescent="0.25">
      <c r="A53" s="3">
        <v>0.18055555555555555</v>
      </c>
      <c r="B53" t="s">
        <v>122</v>
      </c>
      <c r="C53" s="5">
        <v>3.6111111111111108E-2</v>
      </c>
    </row>
    <row r="54" spans="1:3" x14ac:dyDescent="0.25">
      <c r="A54" s="3">
        <v>0.18402777777777779</v>
      </c>
      <c r="B54" t="s">
        <v>123</v>
      </c>
      <c r="C54" s="5">
        <v>3.6805555555555557E-2</v>
      </c>
    </row>
    <row r="55" spans="1:3" x14ac:dyDescent="0.25">
      <c r="A55" s="3">
        <v>0.1875</v>
      </c>
      <c r="B55" t="s">
        <v>124</v>
      </c>
      <c r="C55" s="5">
        <v>3.7499999999999999E-2</v>
      </c>
    </row>
    <row r="56" spans="1:3" x14ac:dyDescent="0.25">
      <c r="A56" s="3">
        <v>0.19097222222222221</v>
      </c>
      <c r="B56" t="s">
        <v>125</v>
      </c>
      <c r="C56" s="5">
        <v>3.8194444444444448E-2</v>
      </c>
    </row>
    <row r="57" spans="1:3" x14ac:dyDescent="0.25">
      <c r="A57" s="3">
        <v>0.19444444444444445</v>
      </c>
      <c r="B57" t="s">
        <v>126</v>
      </c>
      <c r="C57" s="5">
        <v>3.888888888888889E-2</v>
      </c>
    </row>
    <row r="58" spans="1:3" x14ac:dyDescent="0.25">
      <c r="A58" s="3">
        <v>0.19791666666666666</v>
      </c>
      <c r="B58" t="s">
        <v>127</v>
      </c>
      <c r="C58" s="5">
        <v>3.9583333333333331E-2</v>
      </c>
    </row>
    <row r="59" spans="1:3" x14ac:dyDescent="0.25">
      <c r="A59" s="3">
        <v>0.2013888888888889</v>
      </c>
      <c r="B59" t="s">
        <v>128</v>
      </c>
      <c r="C59" s="5">
        <v>4.027777777777778E-2</v>
      </c>
    </row>
    <row r="60" spans="1:3" x14ac:dyDescent="0.25">
      <c r="A60" s="3">
        <v>0.2048611111111111</v>
      </c>
      <c r="B60" t="s">
        <v>129</v>
      </c>
      <c r="C60" s="5">
        <v>4.0972222222222222E-2</v>
      </c>
    </row>
    <row r="61" spans="1:3" x14ac:dyDescent="0.25">
      <c r="A61" s="3">
        <v>0.20833333333333334</v>
      </c>
      <c r="B61" t="s">
        <v>130</v>
      </c>
      <c r="C61" s="5">
        <v>4.1666666666666664E-2</v>
      </c>
    </row>
    <row r="62" spans="1:3" x14ac:dyDescent="0.25">
      <c r="A62" s="3">
        <v>0.21180555555555555</v>
      </c>
      <c r="B62" t="s">
        <v>131</v>
      </c>
      <c r="C62" s="5">
        <v>4.2361111111111113E-2</v>
      </c>
    </row>
    <row r="63" spans="1:3" x14ac:dyDescent="0.25">
      <c r="A63" s="3">
        <v>0.21527777777777779</v>
      </c>
      <c r="B63" t="s">
        <v>132</v>
      </c>
      <c r="C63" s="5">
        <v>4.3055555555555555E-2</v>
      </c>
    </row>
    <row r="64" spans="1:3" x14ac:dyDescent="0.25">
      <c r="A64" s="3">
        <v>0.21875</v>
      </c>
      <c r="B64" t="s">
        <v>133</v>
      </c>
      <c r="C64" s="5">
        <v>4.3749999999999997E-2</v>
      </c>
    </row>
    <row r="65" spans="1:3" x14ac:dyDescent="0.25">
      <c r="A65" s="3">
        <v>0.22222222222222221</v>
      </c>
      <c r="B65" t="s">
        <v>134</v>
      </c>
      <c r="C65" s="5">
        <v>4.4444444444444446E-2</v>
      </c>
    </row>
    <row r="66" spans="1:3" x14ac:dyDescent="0.25">
      <c r="A66" s="3">
        <v>0.22569444444444445</v>
      </c>
      <c r="B66" t="s">
        <v>135</v>
      </c>
      <c r="C66" s="5">
        <v>4.5138888888888888E-2</v>
      </c>
    </row>
    <row r="67" spans="1:3" x14ac:dyDescent="0.25">
      <c r="A67" s="3">
        <v>0.22916666666666666</v>
      </c>
      <c r="B67" t="s">
        <v>136</v>
      </c>
      <c r="C67" s="5">
        <v>4.583333333333333E-2</v>
      </c>
    </row>
    <row r="68" spans="1:3" x14ac:dyDescent="0.25">
      <c r="A68" s="3">
        <v>0.2326388888888889</v>
      </c>
      <c r="B68" t="s">
        <v>137</v>
      </c>
      <c r="C68" s="5">
        <v>4.6527777777777779E-2</v>
      </c>
    </row>
    <row r="69" spans="1:3" x14ac:dyDescent="0.25">
      <c r="A69" s="3">
        <v>0.2361111111111111</v>
      </c>
      <c r="B69" t="s">
        <v>138</v>
      </c>
      <c r="C69" s="5">
        <v>4.7222222222222221E-2</v>
      </c>
    </row>
    <row r="70" spans="1:3" x14ac:dyDescent="0.25">
      <c r="A70" s="3">
        <v>0.23958333333333334</v>
      </c>
      <c r="B70" t="s">
        <v>139</v>
      </c>
      <c r="C70" s="5">
        <v>4.791666666666667E-2</v>
      </c>
    </row>
    <row r="71" spans="1:3" x14ac:dyDescent="0.25">
      <c r="A71" s="3">
        <v>0.24305555555555555</v>
      </c>
      <c r="B71" t="s">
        <v>140</v>
      </c>
      <c r="C71" s="5">
        <v>4.8611111111111112E-2</v>
      </c>
    </row>
    <row r="72" spans="1:3" x14ac:dyDescent="0.25">
      <c r="A72" s="3">
        <v>0.24652777777777779</v>
      </c>
      <c r="B72" t="s">
        <v>141</v>
      </c>
      <c r="C72" s="5">
        <v>4.9305555555555554E-2</v>
      </c>
    </row>
    <row r="73" spans="1:3" x14ac:dyDescent="0.25">
      <c r="A73" s="3">
        <v>0.25</v>
      </c>
      <c r="B73" t="s">
        <v>142</v>
      </c>
      <c r="C73" s="5">
        <v>0.05</v>
      </c>
    </row>
    <row r="74" spans="1:3" x14ac:dyDescent="0.25">
      <c r="A74" s="3">
        <v>0.25347222222222221</v>
      </c>
      <c r="B74" t="s">
        <v>143</v>
      </c>
      <c r="C74" s="5">
        <v>5.0694444444444445E-2</v>
      </c>
    </row>
    <row r="75" spans="1:3" x14ac:dyDescent="0.25">
      <c r="A75" s="3">
        <v>0.25694444444444442</v>
      </c>
      <c r="B75" t="s">
        <v>144</v>
      </c>
      <c r="C75" s="5">
        <v>5.1388888888888887E-2</v>
      </c>
    </row>
    <row r="76" spans="1:3" x14ac:dyDescent="0.25">
      <c r="A76" s="3">
        <v>0.26041666666666669</v>
      </c>
      <c r="B76" t="s">
        <v>145</v>
      </c>
      <c r="C76" s="5">
        <v>5.2083333333333336E-2</v>
      </c>
    </row>
    <row r="77" spans="1:3" x14ac:dyDescent="0.25">
      <c r="A77" s="3">
        <v>0.2638888888888889</v>
      </c>
      <c r="B77" t="s">
        <v>146</v>
      </c>
      <c r="C77" s="5">
        <v>5.2777777777777778E-2</v>
      </c>
    </row>
    <row r="78" spans="1:3" x14ac:dyDescent="0.25">
      <c r="A78" s="3">
        <v>0.2673611111111111</v>
      </c>
      <c r="B78" t="s">
        <v>147</v>
      </c>
      <c r="C78" s="5">
        <v>5.347222222222222E-2</v>
      </c>
    </row>
    <row r="79" spans="1:3" x14ac:dyDescent="0.25">
      <c r="A79" s="3">
        <v>0.27083333333333331</v>
      </c>
      <c r="B79" t="s">
        <v>148</v>
      </c>
      <c r="C79" s="5">
        <v>5.4166666666666669E-2</v>
      </c>
    </row>
    <row r="80" spans="1:3" x14ac:dyDescent="0.25">
      <c r="A80" s="3">
        <v>0.27430555555555558</v>
      </c>
      <c r="B80" t="s">
        <v>149</v>
      </c>
      <c r="C80" s="5">
        <v>5.486111111111111E-2</v>
      </c>
    </row>
    <row r="81" spans="1:3" x14ac:dyDescent="0.25">
      <c r="A81" s="3">
        <v>0.27777777777777779</v>
      </c>
      <c r="B81" t="s">
        <v>150</v>
      </c>
      <c r="C81" s="5">
        <v>5.5555555555555552E-2</v>
      </c>
    </row>
    <row r="82" spans="1:3" x14ac:dyDescent="0.25">
      <c r="A82" s="3">
        <v>0.28125</v>
      </c>
      <c r="B82" t="s">
        <v>151</v>
      </c>
      <c r="C82" s="5">
        <v>5.6250000000000001E-2</v>
      </c>
    </row>
    <row r="83" spans="1:3" x14ac:dyDescent="0.25">
      <c r="A83" s="3">
        <v>0.28472222222222221</v>
      </c>
      <c r="B83" t="s">
        <v>152</v>
      </c>
      <c r="C83" s="5">
        <v>5.6944444444444443E-2</v>
      </c>
    </row>
    <row r="84" spans="1:3" x14ac:dyDescent="0.25">
      <c r="A84" s="3">
        <v>0.28819444444444442</v>
      </c>
      <c r="B84" t="s">
        <v>153</v>
      </c>
      <c r="C84" s="5">
        <v>5.7638888888888892E-2</v>
      </c>
    </row>
    <row r="85" spans="1:3" x14ac:dyDescent="0.25">
      <c r="A85" s="3">
        <v>0.29166666666666669</v>
      </c>
      <c r="B85" t="s">
        <v>154</v>
      </c>
      <c r="C85" s="5">
        <v>5.8333333333333334E-2</v>
      </c>
    </row>
    <row r="86" spans="1:3" x14ac:dyDescent="0.25">
      <c r="A86" s="3">
        <v>0.2951388888888889</v>
      </c>
      <c r="B86" t="s">
        <v>155</v>
      </c>
      <c r="C86" s="5">
        <v>5.9027777777777776E-2</v>
      </c>
    </row>
    <row r="87" spans="1:3" x14ac:dyDescent="0.25">
      <c r="A87" s="3">
        <v>0.2986111111111111</v>
      </c>
      <c r="B87" t="s">
        <v>156</v>
      </c>
      <c r="C87" s="5">
        <v>5.9722222222222225E-2</v>
      </c>
    </row>
    <row r="88" spans="1:3" x14ac:dyDescent="0.25">
      <c r="A88" s="3">
        <v>0.30208333333333331</v>
      </c>
      <c r="B88" t="s">
        <v>157</v>
      </c>
      <c r="C88" s="5">
        <v>6.0416666666666667E-2</v>
      </c>
    </row>
    <row r="89" spans="1:3" x14ac:dyDescent="0.25">
      <c r="A89" s="3">
        <v>0.30555555555555558</v>
      </c>
      <c r="B89" t="s">
        <v>158</v>
      </c>
      <c r="C89" s="5">
        <v>6.1111111111111109E-2</v>
      </c>
    </row>
    <row r="90" spans="1:3" x14ac:dyDescent="0.25">
      <c r="A90" s="3">
        <v>0.30902777777777779</v>
      </c>
      <c r="B90" t="s">
        <v>159</v>
      </c>
      <c r="C90" s="5">
        <v>6.1805555555555558E-2</v>
      </c>
    </row>
    <row r="91" spans="1:3" x14ac:dyDescent="0.25">
      <c r="A91" s="3">
        <v>0.3125</v>
      </c>
      <c r="B91" t="s">
        <v>160</v>
      </c>
      <c r="C91" s="5">
        <v>6.25E-2</v>
      </c>
    </row>
    <row r="92" spans="1:3" x14ac:dyDescent="0.25">
      <c r="A92" s="3">
        <v>0.31597222222222221</v>
      </c>
      <c r="B92" t="s">
        <v>161</v>
      </c>
      <c r="C92" s="5">
        <v>6.3194444444444442E-2</v>
      </c>
    </row>
    <row r="93" spans="1:3" x14ac:dyDescent="0.25">
      <c r="A93" s="3">
        <v>0.31944444444444442</v>
      </c>
      <c r="B93" t="s">
        <v>162</v>
      </c>
      <c r="C93" s="5">
        <v>6.3888888888888884E-2</v>
      </c>
    </row>
    <row r="94" spans="1:3" x14ac:dyDescent="0.25">
      <c r="A94" s="3">
        <v>0.32291666666666669</v>
      </c>
      <c r="B94" t="s">
        <v>163</v>
      </c>
      <c r="C94" s="5">
        <v>6.458333333333334E-2</v>
      </c>
    </row>
    <row r="95" spans="1:3" x14ac:dyDescent="0.25">
      <c r="A95" s="3">
        <v>0.3263888888888889</v>
      </c>
      <c r="B95" t="s">
        <v>164</v>
      </c>
      <c r="C95" s="5">
        <v>6.5277777777777782E-2</v>
      </c>
    </row>
    <row r="96" spans="1:3" x14ac:dyDescent="0.25">
      <c r="A96" s="3">
        <v>0.3298611111111111</v>
      </c>
      <c r="B96" t="s">
        <v>165</v>
      </c>
      <c r="C96" s="5">
        <v>6.5972222222222224E-2</v>
      </c>
    </row>
    <row r="97" spans="1:3" x14ac:dyDescent="0.25">
      <c r="A97" s="3">
        <v>0.33333333333333331</v>
      </c>
      <c r="B97" t="s">
        <v>166</v>
      </c>
      <c r="C97" s="5">
        <v>6.6666666666666666E-2</v>
      </c>
    </row>
    <row r="98" spans="1:3" x14ac:dyDescent="0.25">
      <c r="A98" s="3">
        <v>0.33680555555555558</v>
      </c>
      <c r="B98" t="s">
        <v>167</v>
      </c>
      <c r="C98" s="5">
        <v>6.7361111111111108E-2</v>
      </c>
    </row>
    <row r="99" spans="1:3" x14ac:dyDescent="0.25">
      <c r="A99" s="3">
        <v>0.34027777777777779</v>
      </c>
      <c r="B99" t="s">
        <v>168</v>
      </c>
      <c r="C99" s="5">
        <v>6.805555555555555E-2</v>
      </c>
    </row>
    <row r="100" spans="1:3" x14ac:dyDescent="0.25">
      <c r="A100" s="3">
        <v>0.34375</v>
      </c>
      <c r="B100" t="s">
        <v>169</v>
      </c>
      <c r="C100" s="5">
        <v>6.8750000000000006E-2</v>
      </c>
    </row>
    <row r="101" spans="1:3" x14ac:dyDescent="0.25">
      <c r="A101" s="3">
        <v>0.34722222222222221</v>
      </c>
      <c r="B101" t="s">
        <v>170</v>
      </c>
      <c r="C101" s="5">
        <v>6.9444444444444448E-2</v>
      </c>
    </row>
    <row r="102" spans="1:3" x14ac:dyDescent="0.25">
      <c r="A102" s="3">
        <v>0.35069444444444442</v>
      </c>
      <c r="B102" t="s">
        <v>171</v>
      </c>
      <c r="C102" s="5">
        <v>7.013888888888889E-2</v>
      </c>
    </row>
    <row r="103" spans="1:3" x14ac:dyDescent="0.25">
      <c r="A103" s="3">
        <v>0.35416666666666669</v>
      </c>
      <c r="B103" t="s">
        <v>172</v>
      </c>
      <c r="C103" s="5">
        <v>7.0833333333333331E-2</v>
      </c>
    </row>
    <row r="104" spans="1:3" x14ac:dyDescent="0.25">
      <c r="A104" s="3">
        <v>0.3576388888888889</v>
      </c>
      <c r="B104" t="s">
        <v>173</v>
      </c>
      <c r="C104" s="5">
        <v>7.1527777777777773E-2</v>
      </c>
    </row>
    <row r="105" spans="1:3" x14ac:dyDescent="0.25">
      <c r="A105" s="3">
        <v>0.3611111111111111</v>
      </c>
      <c r="B105" t="s">
        <v>174</v>
      </c>
      <c r="C105" s="5">
        <v>7.2222222222222215E-2</v>
      </c>
    </row>
    <row r="106" spans="1:3" x14ac:dyDescent="0.25">
      <c r="A106" s="3">
        <v>0.36458333333333331</v>
      </c>
      <c r="B106" t="s">
        <v>175</v>
      </c>
      <c r="C106" s="5">
        <v>7.2916666666666671E-2</v>
      </c>
    </row>
    <row r="107" spans="1:3" x14ac:dyDescent="0.25">
      <c r="A107" s="3">
        <v>0.36805555555555558</v>
      </c>
      <c r="B107" t="s">
        <v>176</v>
      </c>
      <c r="C107" s="5">
        <v>7.3611111111111113E-2</v>
      </c>
    </row>
    <row r="108" spans="1:3" x14ac:dyDescent="0.25">
      <c r="A108" s="3">
        <v>0.37152777777777779</v>
      </c>
      <c r="B108" t="s">
        <v>177</v>
      </c>
      <c r="C108" s="5">
        <v>7.4305555555555555E-2</v>
      </c>
    </row>
    <row r="109" spans="1:3" x14ac:dyDescent="0.25">
      <c r="A109" s="3">
        <v>0.375</v>
      </c>
      <c r="B109" t="s">
        <v>178</v>
      </c>
      <c r="C109" s="5">
        <v>7.4999999999999997E-2</v>
      </c>
    </row>
    <row r="110" spans="1:3" x14ac:dyDescent="0.25">
      <c r="A110" s="3">
        <v>0.37847222222222221</v>
      </c>
      <c r="B110" t="s">
        <v>179</v>
      </c>
      <c r="C110" s="5">
        <v>7.5694444444444439E-2</v>
      </c>
    </row>
    <row r="111" spans="1:3" x14ac:dyDescent="0.25">
      <c r="A111" s="3">
        <v>0.38194444444444442</v>
      </c>
      <c r="B111" t="s">
        <v>180</v>
      </c>
      <c r="C111" s="5">
        <v>7.6388888888888895E-2</v>
      </c>
    </row>
    <row r="112" spans="1:3" x14ac:dyDescent="0.25">
      <c r="A112" s="3">
        <v>0.38541666666666669</v>
      </c>
      <c r="B112" t="s">
        <v>181</v>
      </c>
      <c r="C112" s="5">
        <v>7.7083333333333337E-2</v>
      </c>
    </row>
    <row r="113" spans="1:3" x14ac:dyDescent="0.25">
      <c r="A113" s="3">
        <v>0.3888888888888889</v>
      </c>
      <c r="B113" t="s">
        <v>182</v>
      </c>
      <c r="C113" s="5">
        <v>7.7777777777777779E-2</v>
      </c>
    </row>
    <row r="114" spans="1:3" x14ac:dyDescent="0.25">
      <c r="A114" s="3">
        <v>0.3923611111111111</v>
      </c>
      <c r="B114" t="s">
        <v>183</v>
      </c>
      <c r="C114" s="5">
        <v>7.8472222222222221E-2</v>
      </c>
    </row>
    <row r="115" spans="1:3" x14ac:dyDescent="0.25">
      <c r="A115" s="3">
        <v>0.39583333333333331</v>
      </c>
      <c r="B115" t="s">
        <v>184</v>
      </c>
      <c r="C115" s="5">
        <v>7.9166666666666663E-2</v>
      </c>
    </row>
    <row r="116" spans="1:3" x14ac:dyDescent="0.25">
      <c r="A116" s="3">
        <v>0.39930555555555558</v>
      </c>
      <c r="B116" t="s">
        <v>185</v>
      </c>
      <c r="C116" s="5">
        <v>7.9861111111111105E-2</v>
      </c>
    </row>
    <row r="117" spans="1:3" x14ac:dyDescent="0.25">
      <c r="A117" s="3">
        <v>0.40277777777777779</v>
      </c>
      <c r="B117" t="s">
        <v>186</v>
      </c>
      <c r="C117" s="5">
        <v>8.0555555555555561E-2</v>
      </c>
    </row>
    <row r="118" spans="1:3" x14ac:dyDescent="0.25">
      <c r="A118" s="3">
        <v>0.40625</v>
      </c>
      <c r="B118" t="s">
        <v>187</v>
      </c>
      <c r="C118" s="5">
        <v>8.1250000000000003E-2</v>
      </c>
    </row>
    <row r="119" spans="1:3" x14ac:dyDescent="0.25">
      <c r="A119" s="3">
        <v>0.40972222222222221</v>
      </c>
      <c r="B119" t="s">
        <v>188</v>
      </c>
      <c r="C119" s="5">
        <v>8.1944444444444445E-2</v>
      </c>
    </row>
    <row r="120" spans="1:3" x14ac:dyDescent="0.25">
      <c r="A120" s="3">
        <v>0.41319444444444442</v>
      </c>
      <c r="B120" t="s">
        <v>189</v>
      </c>
      <c r="C120" s="5">
        <v>8.2638888888888887E-2</v>
      </c>
    </row>
    <row r="121" spans="1:3" x14ac:dyDescent="0.25">
      <c r="A121" s="3">
        <v>0.41666666666666669</v>
      </c>
      <c r="B121" t="s">
        <v>190</v>
      </c>
      <c r="C121" s="5">
        <v>8.3333333333333329E-2</v>
      </c>
    </row>
    <row r="122" spans="1:3" x14ac:dyDescent="0.25">
      <c r="A122" s="3">
        <v>0.4201388888888889</v>
      </c>
      <c r="B122" t="s">
        <v>191</v>
      </c>
      <c r="C122" s="5">
        <v>8.4027777777777785E-2</v>
      </c>
    </row>
    <row r="123" spans="1:3" x14ac:dyDescent="0.25">
      <c r="A123" s="3">
        <v>0.4236111111111111</v>
      </c>
      <c r="B123" t="s">
        <v>192</v>
      </c>
      <c r="C123" s="5">
        <v>8.4722222222222227E-2</v>
      </c>
    </row>
    <row r="124" spans="1:3" x14ac:dyDescent="0.25">
      <c r="A124" s="3">
        <v>0.42708333333333331</v>
      </c>
      <c r="B124" t="s">
        <v>193</v>
      </c>
      <c r="C124" s="5">
        <v>8.5416666666666669E-2</v>
      </c>
    </row>
    <row r="125" spans="1:3" x14ac:dyDescent="0.25">
      <c r="A125" s="3">
        <v>0.43055555555555558</v>
      </c>
      <c r="B125" t="s">
        <v>194</v>
      </c>
      <c r="C125" s="5">
        <v>8.611111111111111E-2</v>
      </c>
    </row>
    <row r="126" spans="1:3" x14ac:dyDescent="0.25">
      <c r="A126" s="3">
        <v>0.43402777777777779</v>
      </c>
      <c r="B126" t="s">
        <v>195</v>
      </c>
      <c r="C126" s="5">
        <v>8.6805555555555552E-2</v>
      </c>
    </row>
    <row r="127" spans="1:3" x14ac:dyDescent="0.25">
      <c r="A127" s="3">
        <v>0.4375</v>
      </c>
      <c r="B127" t="s">
        <v>196</v>
      </c>
      <c r="C127" s="5">
        <v>8.7499999999999994E-2</v>
      </c>
    </row>
    <row r="128" spans="1:3" x14ac:dyDescent="0.25">
      <c r="A128" s="3">
        <v>0.44097222222222221</v>
      </c>
      <c r="B128" t="s">
        <v>197</v>
      </c>
      <c r="C128" s="5">
        <v>8.819444444444445E-2</v>
      </c>
    </row>
    <row r="129" spans="1:3" x14ac:dyDescent="0.25">
      <c r="A129" s="3">
        <v>0.44444444444444442</v>
      </c>
      <c r="B129" t="s">
        <v>198</v>
      </c>
      <c r="C129" s="5">
        <v>8.8888888888888892E-2</v>
      </c>
    </row>
    <row r="130" spans="1:3" x14ac:dyDescent="0.25">
      <c r="A130" s="3">
        <v>0.44791666666666669</v>
      </c>
      <c r="B130" t="s">
        <v>199</v>
      </c>
      <c r="C130" s="5">
        <v>8.9583333333333334E-2</v>
      </c>
    </row>
    <row r="131" spans="1:3" x14ac:dyDescent="0.25">
      <c r="A131" s="3">
        <v>0.4513888888888889</v>
      </c>
      <c r="B131" t="s">
        <v>200</v>
      </c>
      <c r="C131" s="5">
        <v>9.0277777777777776E-2</v>
      </c>
    </row>
    <row r="132" spans="1:3" x14ac:dyDescent="0.25">
      <c r="A132" s="3">
        <v>0.4548611111111111</v>
      </c>
      <c r="B132" t="s">
        <v>201</v>
      </c>
      <c r="C132" s="5">
        <v>9.0972222222222218E-2</v>
      </c>
    </row>
    <row r="133" spans="1:3" x14ac:dyDescent="0.25">
      <c r="A133" s="3">
        <v>0.45833333333333331</v>
      </c>
      <c r="B133" t="s">
        <v>202</v>
      </c>
      <c r="C133" s="5">
        <v>9.166666666666666E-2</v>
      </c>
    </row>
    <row r="134" spans="1:3" x14ac:dyDescent="0.25">
      <c r="A134" s="3">
        <v>0.46180555555555558</v>
      </c>
      <c r="B134" t="s">
        <v>203</v>
      </c>
      <c r="C134" s="5">
        <v>9.2361111111111116E-2</v>
      </c>
    </row>
    <row r="135" spans="1:3" x14ac:dyDescent="0.25">
      <c r="A135" s="3">
        <v>0.46527777777777779</v>
      </c>
      <c r="B135" t="s">
        <v>204</v>
      </c>
      <c r="C135" s="5">
        <v>9.3055555555555558E-2</v>
      </c>
    </row>
    <row r="136" spans="1:3" x14ac:dyDescent="0.25">
      <c r="A136" s="3">
        <v>0.46875</v>
      </c>
      <c r="B136" t="s">
        <v>205</v>
      </c>
      <c r="C136" s="5">
        <v>9.375E-2</v>
      </c>
    </row>
    <row r="137" spans="1:3" x14ac:dyDescent="0.25">
      <c r="A137" s="3">
        <v>0.47222222222222221</v>
      </c>
      <c r="B137" t="s">
        <v>206</v>
      </c>
      <c r="C137" s="5">
        <v>9.4444444444444442E-2</v>
      </c>
    </row>
    <row r="138" spans="1:3" x14ac:dyDescent="0.25">
      <c r="A138" s="3">
        <v>0.47569444444444442</v>
      </c>
      <c r="B138" t="s">
        <v>207</v>
      </c>
      <c r="C138" s="5">
        <v>9.5138888888888884E-2</v>
      </c>
    </row>
    <row r="139" spans="1:3" x14ac:dyDescent="0.25">
      <c r="A139" s="3">
        <v>0.47916666666666669</v>
      </c>
      <c r="B139" t="s">
        <v>208</v>
      </c>
      <c r="C139" s="5">
        <v>9.583333333333334E-2</v>
      </c>
    </row>
    <row r="140" spans="1:3" x14ac:dyDescent="0.25">
      <c r="A140" s="3">
        <v>0.4826388888888889</v>
      </c>
      <c r="B140" t="s">
        <v>209</v>
      </c>
      <c r="C140" s="5">
        <v>9.6527777777777782E-2</v>
      </c>
    </row>
    <row r="141" spans="1:3" x14ac:dyDescent="0.25">
      <c r="A141" s="3">
        <v>0.4861111111111111</v>
      </c>
      <c r="B141" t="s">
        <v>210</v>
      </c>
      <c r="C141" s="5">
        <v>9.7222222222222224E-2</v>
      </c>
    </row>
    <row r="142" spans="1:3" x14ac:dyDescent="0.25">
      <c r="A142" s="3">
        <v>0.48958333333333331</v>
      </c>
      <c r="B142" t="s">
        <v>211</v>
      </c>
      <c r="C142" s="5">
        <v>9.7916666666666666E-2</v>
      </c>
    </row>
    <row r="143" spans="1:3" x14ac:dyDescent="0.25">
      <c r="A143" s="3">
        <v>0.49305555555555558</v>
      </c>
      <c r="B143" t="s">
        <v>212</v>
      </c>
      <c r="C143" s="5">
        <v>9.8611111111111108E-2</v>
      </c>
    </row>
    <row r="144" spans="1:3" x14ac:dyDescent="0.25">
      <c r="A144" s="3">
        <v>0.49652777777777779</v>
      </c>
      <c r="B144" t="s">
        <v>213</v>
      </c>
      <c r="C144" s="5">
        <v>9.930555555555555E-2</v>
      </c>
    </row>
    <row r="145" spans="1:3" x14ac:dyDescent="0.25">
      <c r="A145" s="3">
        <v>0.5</v>
      </c>
      <c r="B145" t="s">
        <v>214</v>
      </c>
      <c r="C145" s="5">
        <v>0.1</v>
      </c>
    </row>
    <row r="146" spans="1:3" x14ac:dyDescent="0.25">
      <c r="A146" s="3">
        <v>0.50347222222222221</v>
      </c>
      <c r="B146" t="s">
        <v>215</v>
      </c>
      <c r="C146" s="5">
        <v>0.10069444444444445</v>
      </c>
    </row>
    <row r="147" spans="1:3" x14ac:dyDescent="0.25">
      <c r="A147" s="3">
        <v>0.50694444444444442</v>
      </c>
      <c r="B147" t="s">
        <v>216</v>
      </c>
      <c r="C147" s="5">
        <v>0.10138888888888889</v>
      </c>
    </row>
    <row r="148" spans="1:3" x14ac:dyDescent="0.25">
      <c r="A148" s="3">
        <v>0.51041666666666663</v>
      </c>
      <c r="B148" t="s">
        <v>217</v>
      </c>
      <c r="C148" s="5">
        <v>0.10208333333333333</v>
      </c>
    </row>
    <row r="149" spans="1:3" x14ac:dyDescent="0.25">
      <c r="A149" s="3">
        <v>0.51388888888888884</v>
      </c>
      <c r="B149" t="s">
        <v>218</v>
      </c>
      <c r="C149" s="5">
        <v>0.10277777777777777</v>
      </c>
    </row>
    <row r="150" spans="1:3" x14ac:dyDescent="0.25">
      <c r="A150" s="3">
        <v>0.51736111111111116</v>
      </c>
      <c r="B150" t="s">
        <v>219</v>
      </c>
      <c r="C150" s="5">
        <v>0.10347222222222222</v>
      </c>
    </row>
    <row r="151" spans="1:3" x14ac:dyDescent="0.25">
      <c r="A151" s="3">
        <v>0.52083333333333337</v>
      </c>
      <c r="B151" t="s">
        <v>220</v>
      </c>
      <c r="C151" s="5">
        <v>0.10416666666666667</v>
      </c>
    </row>
    <row r="152" spans="1:3" x14ac:dyDescent="0.25">
      <c r="A152" s="3">
        <v>0.52430555555555558</v>
      </c>
      <c r="B152" t="s">
        <v>221</v>
      </c>
      <c r="C152" s="5">
        <v>0.10486111111111111</v>
      </c>
    </row>
    <row r="153" spans="1:3" x14ac:dyDescent="0.25">
      <c r="A153" s="3">
        <v>0.52777777777777779</v>
      </c>
      <c r="B153" t="s">
        <v>222</v>
      </c>
      <c r="C153" s="5">
        <v>0.10555555555555556</v>
      </c>
    </row>
    <row r="154" spans="1:3" x14ac:dyDescent="0.25">
      <c r="A154" s="3">
        <v>0.53125</v>
      </c>
      <c r="B154" t="s">
        <v>223</v>
      </c>
      <c r="C154" s="5">
        <v>0.10625</v>
      </c>
    </row>
    <row r="155" spans="1:3" x14ac:dyDescent="0.25">
      <c r="A155" s="3">
        <v>0.53472222222222221</v>
      </c>
      <c r="B155" t="s">
        <v>224</v>
      </c>
      <c r="C155" s="5">
        <v>0.10694444444444444</v>
      </c>
    </row>
    <row r="156" spans="1:3" x14ac:dyDescent="0.25">
      <c r="A156" s="3">
        <v>0.53819444444444442</v>
      </c>
      <c r="B156" t="s">
        <v>225</v>
      </c>
      <c r="C156" s="5">
        <v>0.1076388888888889</v>
      </c>
    </row>
    <row r="157" spans="1:3" x14ac:dyDescent="0.25">
      <c r="A157" s="3">
        <v>0.54166666666666663</v>
      </c>
      <c r="B157" t="s">
        <v>226</v>
      </c>
      <c r="C157" s="5">
        <v>0.10833333333333334</v>
      </c>
    </row>
    <row r="158" spans="1:3" x14ac:dyDescent="0.25">
      <c r="A158" s="3">
        <v>0.54513888888888884</v>
      </c>
      <c r="B158" t="s">
        <v>227</v>
      </c>
      <c r="C158" s="5">
        <v>0.10902777777777778</v>
      </c>
    </row>
    <row r="159" spans="1:3" x14ac:dyDescent="0.25">
      <c r="A159" s="3">
        <v>0.54861111111111116</v>
      </c>
      <c r="B159" t="s">
        <v>228</v>
      </c>
      <c r="C159" s="5">
        <v>0.10972222222222222</v>
      </c>
    </row>
    <row r="160" spans="1:3" x14ac:dyDescent="0.25">
      <c r="A160" s="3">
        <v>0.55208333333333337</v>
      </c>
      <c r="B160" t="s">
        <v>229</v>
      </c>
      <c r="C160" s="5">
        <v>0.11041666666666666</v>
      </c>
    </row>
    <row r="161" spans="1:3" x14ac:dyDescent="0.25">
      <c r="A161" s="3">
        <v>0.55555555555555558</v>
      </c>
      <c r="B161" t="s">
        <v>230</v>
      </c>
      <c r="C161" s="5">
        <v>0.1111111111111111</v>
      </c>
    </row>
    <row r="162" spans="1:3" x14ac:dyDescent="0.25">
      <c r="A162" s="3">
        <v>0.55902777777777779</v>
      </c>
      <c r="B162" t="s">
        <v>231</v>
      </c>
      <c r="C162" s="5">
        <v>0.11180555555555556</v>
      </c>
    </row>
    <row r="163" spans="1:3" x14ac:dyDescent="0.25">
      <c r="A163" s="3">
        <v>0.5625</v>
      </c>
      <c r="B163" t="s">
        <v>232</v>
      </c>
      <c r="C163" s="5">
        <v>0.1125</v>
      </c>
    </row>
    <row r="164" spans="1:3" x14ac:dyDescent="0.25">
      <c r="A164" s="3">
        <v>0.56597222222222221</v>
      </c>
      <c r="B164" t="s">
        <v>233</v>
      </c>
      <c r="C164" s="5">
        <v>0.11319444444444444</v>
      </c>
    </row>
    <row r="165" spans="1:3" x14ac:dyDescent="0.25">
      <c r="A165" s="3">
        <v>0.56944444444444442</v>
      </c>
      <c r="B165" t="s">
        <v>234</v>
      </c>
      <c r="C165" s="5">
        <v>0.11388888888888889</v>
      </c>
    </row>
    <row r="166" spans="1:3" x14ac:dyDescent="0.25">
      <c r="A166" s="3">
        <v>0.57291666666666663</v>
      </c>
      <c r="B166" t="s">
        <v>235</v>
      </c>
      <c r="C166" s="5">
        <v>0.11458333333333333</v>
      </c>
    </row>
    <row r="167" spans="1:3" x14ac:dyDescent="0.25">
      <c r="A167" s="3">
        <v>0.57638888888888884</v>
      </c>
      <c r="B167" t="s">
        <v>236</v>
      </c>
      <c r="C167" s="5">
        <v>0.11527777777777778</v>
      </c>
    </row>
    <row r="168" spans="1:3" x14ac:dyDescent="0.25">
      <c r="A168" s="3">
        <v>0.57986111111111116</v>
      </c>
      <c r="B168" t="s">
        <v>237</v>
      </c>
      <c r="C168" s="5">
        <v>0.11597222222222223</v>
      </c>
    </row>
    <row r="169" spans="1:3" x14ac:dyDescent="0.25">
      <c r="A169" s="3">
        <v>0.58333333333333337</v>
      </c>
      <c r="B169" t="s">
        <v>238</v>
      </c>
      <c r="C169" s="5">
        <v>0.11666666666666667</v>
      </c>
    </row>
    <row r="170" spans="1:3" x14ac:dyDescent="0.25">
      <c r="A170" s="3">
        <v>0.58680555555555558</v>
      </c>
      <c r="B170" t="s">
        <v>239</v>
      </c>
      <c r="C170" s="5">
        <v>0.11736111111111111</v>
      </c>
    </row>
    <row r="171" spans="1:3" x14ac:dyDescent="0.25">
      <c r="A171" s="3">
        <v>0.59027777777777779</v>
      </c>
      <c r="B171" t="s">
        <v>240</v>
      </c>
      <c r="C171" s="5">
        <v>0.11805555555555555</v>
      </c>
    </row>
    <row r="172" spans="1:3" x14ac:dyDescent="0.25">
      <c r="A172" s="3">
        <v>0.59375</v>
      </c>
      <c r="B172" t="s">
        <v>241</v>
      </c>
      <c r="C172" s="5">
        <v>0.11874999999999999</v>
      </c>
    </row>
    <row r="173" spans="1:3" x14ac:dyDescent="0.25">
      <c r="A173" s="3">
        <v>0.59722222222222221</v>
      </c>
      <c r="B173" t="s">
        <v>242</v>
      </c>
      <c r="C173" s="5">
        <v>0.11944444444444445</v>
      </c>
    </row>
    <row r="174" spans="1:3" x14ac:dyDescent="0.25">
      <c r="A174" s="3">
        <v>0.60069444444444442</v>
      </c>
      <c r="B174" t="s">
        <v>243</v>
      </c>
      <c r="C174" s="5">
        <v>0.12013888888888889</v>
      </c>
    </row>
    <row r="175" spans="1:3" x14ac:dyDescent="0.25">
      <c r="A175" s="3">
        <v>0.60416666666666663</v>
      </c>
      <c r="B175" t="s">
        <v>244</v>
      </c>
      <c r="C175" s="5">
        <v>0.12083333333333333</v>
      </c>
    </row>
    <row r="176" spans="1:3" x14ac:dyDescent="0.25">
      <c r="A176" s="3">
        <v>0.60763888888888884</v>
      </c>
      <c r="B176" t="s">
        <v>245</v>
      </c>
      <c r="C176" s="5">
        <v>0.12152777777777778</v>
      </c>
    </row>
    <row r="177" spans="1:3" x14ac:dyDescent="0.25">
      <c r="A177" s="3">
        <v>0.61111111111111116</v>
      </c>
      <c r="B177" t="s">
        <v>246</v>
      </c>
      <c r="C177" s="5">
        <v>0.12222222222222222</v>
      </c>
    </row>
    <row r="178" spans="1:3" x14ac:dyDescent="0.25">
      <c r="A178" s="3">
        <v>0.61458333333333337</v>
      </c>
      <c r="B178" t="s">
        <v>247</v>
      </c>
      <c r="C178" s="5">
        <v>0.12291666666666666</v>
      </c>
    </row>
    <row r="179" spans="1:3" x14ac:dyDescent="0.25">
      <c r="A179" s="3">
        <v>0.61805555555555558</v>
      </c>
      <c r="B179" t="s">
        <v>248</v>
      </c>
      <c r="C179" s="5">
        <v>0.12361111111111112</v>
      </c>
    </row>
    <row r="180" spans="1:3" x14ac:dyDescent="0.25">
      <c r="A180" s="3">
        <v>0.62152777777777779</v>
      </c>
      <c r="B180" t="s">
        <v>249</v>
      </c>
      <c r="C180" s="5">
        <v>0.12430555555555556</v>
      </c>
    </row>
    <row r="181" spans="1:3" x14ac:dyDescent="0.25">
      <c r="A181" s="3">
        <v>0.625</v>
      </c>
      <c r="B181" t="s">
        <v>250</v>
      </c>
      <c r="C181" s="5">
        <v>0.125</v>
      </c>
    </row>
    <row r="182" spans="1:3" x14ac:dyDescent="0.25">
      <c r="A182" s="3">
        <v>0.62847222222222221</v>
      </c>
      <c r="B182" t="s">
        <v>251</v>
      </c>
      <c r="C182" s="5">
        <v>0.12569444444444444</v>
      </c>
    </row>
    <row r="183" spans="1:3" x14ac:dyDescent="0.25">
      <c r="A183" s="3">
        <v>0.63194444444444442</v>
      </c>
      <c r="B183" t="s">
        <v>252</v>
      </c>
      <c r="C183" s="5">
        <v>0.12638888888888888</v>
      </c>
    </row>
    <row r="184" spans="1:3" x14ac:dyDescent="0.25">
      <c r="A184" s="3">
        <v>0.63541666666666663</v>
      </c>
      <c r="B184" t="s">
        <v>253</v>
      </c>
      <c r="C184" s="5">
        <v>0.12708333333333333</v>
      </c>
    </row>
    <row r="185" spans="1:3" x14ac:dyDescent="0.25">
      <c r="A185" s="3">
        <v>0.63888888888888884</v>
      </c>
      <c r="B185" t="s">
        <v>254</v>
      </c>
      <c r="C185" s="5">
        <v>0.12777777777777777</v>
      </c>
    </row>
    <row r="186" spans="1:3" x14ac:dyDescent="0.25">
      <c r="A186" s="3">
        <v>0.64236111111111116</v>
      </c>
      <c r="B186" t="s">
        <v>255</v>
      </c>
      <c r="C186" s="5">
        <v>0.12847222222222221</v>
      </c>
    </row>
    <row r="187" spans="1:3" x14ac:dyDescent="0.25">
      <c r="A187" s="3">
        <v>0.64583333333333337</v>
      </c>
      <c r="B187" t="s">
        <v>256</v>
      </c>
      <c r="C187" s="5">
        <v>0.12916666666666668</v>
      </c>
    </row>
    <row r="188" spans="1:3" x14ac:dyDescent="0.25">
      <c r="A188" s="3">
        <v>0.64930555555555558</v>
      </c>
      <c r="B188" t="s">
        <v>257</v>
      </c>
      <c r="C188" s="5">
        <v>0.12986111111111112</v>
      </c>
    </row>
    <row r="189" spans="1:3" x14ac:dyDescent="0.25">
      <c r="A189" s="3">
        <v>0.65277777777777779</v>
      </c>
      <c r="B189" t="s">
        <v>258</v>
      </c>
      <c r="C189" s="5">
        <v>0.13055555555555556</v>
      </c>
    </row>
    <row r="190" spans="1:3" x14ac:dyDescent="0.25">
      <c r="A190" s="3">
        <v>0.65625</v>
      </c>
      <c r="B190" t="s">
        <v>259</v>
      </c>
      <c r="C190" s="5">
        <v>0.13125000000000001</v>
      </c>
    </row>
    <row r="191" spans="1:3" x14ac:dyDescent="0.25">
      <c r="A191" s="3">
        <v>0.65972222222222221</v>
      </c>
      <c r="B191" t="s">
        <v>260</v>
      </c>
      <c r="C191" s="5">
        <v>0.13194444444444445</v>
      </c>
    </row>
    <row r="192" spans="1:3" x14ac:dyDescent="0.25">
      <c r="A192" s="3">
        <v>0.66319444444444442</v>
      </c>
      <c r="B192" t="s">
        <v>261</v>
      </c>
      <c r="C192" s="5">
        <v>0.13263888888888889</v>
      </c>
    </row>
    <row r="193" spans="1:3" x14ac:dyDescent="0.25">
      <c r="A193" s="3">
        <v>0.66666666666666663</v>
      </c>
      <c r="B193" t="s">
        <v>262</v>
      </c>
      <c r="C193" s="5">
        <v>0.13333333333333333</v>
      </c>
    </row>
    <row r="194" spans="1:3" x14ac:dyDescent="0.25">
      <c r="A194" s="3">
        <v>0.67013888888888884</v>
      </c>
      <c r="B194" t="s">
        <v>263</v>
      </c>
      <c r="C194" s="5">
        <v>0.13402777777777777</v>
      </c>
    </row>
    <row r="195" spans="1:3" x14ac:dyDescent="0.25">
      <c r="A195" s="3">
        <v>0.67361111111111116</v>
      </c>
      <c r="B195" t="s">
        <v>264</v>
      </c>
      <c r="C195" s="5">
        <v>0.13472222222222222</v>
      </c>
    </row>
    <row r="196" spans="1:3" x14ac:dyDescent="0.25">
      <c r="A196" s="3">
        <v>0.67708333333333337</v>
      </c>
      <c r="B196" t="s">
        <v>265</v>
      </c>
      <c r="C196" s="5">
        <v>0.13541666666666666</v>
      </c>
    </row>
    <row r="197" spans="1:3" x14ac:dyDescent="0.25">
      <c r="A197" s="3">
        <v>0.68055555555555558</v>
      </c>
      <c r="B197" t="s">
        <v>266</v>
      </c>
      <c r="C197" s="5">
        <v>0.1361111111111111</v>
      </c>
    </row>
    <row r="198" spans="1:3" x14ac:dyDescent="0.25">
      <c r="A198" s="3">
        <v>0.68402777777777779</v>
      </c>
      <c r="B198" t="s">
        <v>267</v>
      </c>
      <c r="C198" s="5">
        <v>0.13680555555555557</v>
      </c>
    </row>
    <row r="199" spans="1:3" x14ac:dyDescent="0.25">
      <c r="A199" s="3">
        <v>0.6875</v>
      </c>
      <c r="B199" t="s">
        <v>268</v>
      </c>
      <c r="C199" s="5">
        <v>0.13750000000000001</v>
      </c>
    </row>
    <row r="200" spans="1:3" x14ac:dyDescent="0.25">
      <c r="A200" s="3">
        <v>0.69097222222222221</v>
      </c>
      <c r="B200" t="s">
        <v>269</v>
      </c>
      <c r="C200" s="5">
        <v>0.13819444444444445</v>
      </c>
    </row>
    <row r="201" spans="1:3" x14ac:dyDescent="0.25">
      <c r="A201" s="3">
        <v>0.69444444444444442</v>
      </c>
      <c r="B201" t="s">
        <v>270</v>
      </c>
      <c r="C201" s="5">
        <v>0.1388888888888889</v>
      </c>
    </row>
    <row r="202" spans="1:3" x14ac:dyDescent="0.25">
      <c r="A202" s="3">
        <v>0.69791666666666663</v>
      </c>
      <c r="B202" t="s">
        <v>271</v>
      </c>
      <c r="C202" s="5">
        <v>0.13958333333333334</v>
      </c>
    </row>
    <row r="203" spans="1:3" x14ac:dyDescent="0.25">
      <c r="A203" s="3">
        <v>0.70138888888888884</v>
      </c>
      <c r="B203" t="s">
        <v>272</v>
      </c>
      <c r="C203" s="5">
        <v>0.14027777777777778</v>
      </c>
    </row>
    <row r="204" spans="1:3" x14ac:dyDescent="0.25">
      <c r="A204" s="3">
        <v>0.70486111111111116</v>
      </c>
      <c r="B204" t="s">
        <v>273</v>
      </c>
      <c r="C204" s="5">
        <v>0.14097222222222222</v>
      </c>
    </row>
    <row r="205" spans="1:3" x14ac:dyDescent="0.25">
      <c r="A205" s="3">
        <v>0.70833333333333337</v>
      </c>
      <c r="B205" t="s">
        <v>274</v>
      </c>
      <c r="C205" s="5">
        <v>0.14166666666666666</v>
      </c>
    </row>
    <row r="206" spans="1:3" x14ac:dyDescent="0.25">
      <c r="A206" s="3">
        <v>0.71180555555555558</v>
      </c>
      <c r="B206" t="s">
        <v>275</v>
      </c>
      <c r="C206" s="5">
        <v>0.1423611111111111</v>
      </c>
    </row>
    <row r="207" spans="1:3" x14ac:dyDescent="0.25">
      <c r="A207" s="3">
        <v>0.71527777777777779</v>
      </c>
      <c r="B207" t="s">
        <v>276</v>
      </c>
      <c r="C207" s="5">
        <v>0.14305555555555555</v>
      </c>
    </row>
    <row r="208" spans="1:3" x14ac:dyDescent="0.25">
      <c r="A208" s="3">
        <v>0.71875</v>
      </c>
      <c r="B208" t="s">
        <v>277</v>
      </c>
      <c r="C208" s="5">
        <v>0.14374999999999999</v>
      </c>
    </row>
    <row r="209" spans="1:3" x14ac:dyDescent="0.25">
      <c r="A209" s="3">
        <v>0.72222222222222221</v>
      </c>
      <c r="B209" t="s">
        <v>278</v>
      </c>
      <c r="C209" s="5">
        <v>0.14444444444444443</v>
      </c>
    </row>
    <row r="210" spans="1:3" x14ac:dyDescent="0.25">
      <c r="A210" s="3">
        <v>0.72569444444444442</v>
      </c>
      <c r="B210" t="s">
        <v>279</v>
      </c>
      <c r="C210" s="5">
        <v>0.1451388888888889</v>
      </c>
    </row>
    <row r="211" spans="1:3" x14ac:dyDescent="0.25">
      <c r="A211" s="3">
        <v>0.72916666666666663</v>
      </c>
      <c r="B211" t="s">
        <v>280</v>
      </c>
      <c r="C211" s="5">
        <v>0.14583333333333334</v>
      </c>
    </row>
    <row r="212" spans="1:3" x14ac:dyDescent="0.25">
      <c r="A212" s="3">
        <v>0.73263888888888884</v>
      </c>
      <c r="B212" t="s">
        <v>281</v>
      </c>
      <c r="C212" s="5">
        <v>0.14652777777777778</v>
      </c>
    </row>
    <row r="213" spans="1:3" x14ac:dyDescent="0.25">
      <c r="A213" s="3">
        <v>0.73611111111111116</v>
      </c>
      <c r="B213" t="s">
        <v>282</v>
      </c>
      <c r="C213" s="5">
        <v>0.14722222222222223</v>
      </c>
    </row>
    <row r="214" spans="1:3" x14ac:dyDescent="0.25">
      <c r="A214" s="3">
        <v>0.73958333333333337</v>
      </c>
      <c r="B214" t="s">
        <v>283</v>
      </c>
      <c r="C214" s="5">
        <v>0.14791666666666667</v>
      </c>
    </row>
    <row r="215" spans="1:3" x14ac:dyDescent="0.25">
      <c r="A215" s="3">
        <v>0.74305555555555558</v>
      </c>
      <c r="B215" t="s">
        <v>284</v>
      </c>
      <c r="C215" s="5">
        <v>0.14861111111111111</v>
      </c>
    </row>
    <row r="216" spans="1:3" x14ac:dyDescent="0.25">
      <c r="A216" s="3">
        <v>0.74652777777777779</v>
      </c>
      <c r="B216" t="s">
        <v>285</v>
      </c>
      <c r="C216" s="5">
        <v>0.14930555555555555</v>
      </c>
    </row>
    <row r="217" spans="1:3" x14ac:dyDescent="0.25">
      <c r="A217" s="3">
        <v>0.75</v>
      </c>
      <c r="B217" t="s">
        <v>286</v>
      </c>
      <c r="C217" s="5">
        <v>0.15</v>
      </c>
    </row>
    <row r="218" spans="1:3" x14ac:dyDescent="0.25">
      <c r="A218" s="3">
        <v>0.75347222222222221</v>
      </c>
      <c r="B218" t="s">
        <v>287</v>
      </c>
      <c r="C218" s="5">
        <v>0.15069444444444444</v>
      </c>
    </row>
    <row r="219" spans="1:3" x14ac:dyDescent="0.25">
      <c r="A219" s="3">
        <v>0.75694444444444442</v>
      </c>
      <c r="B219" t="s">
        <v>288</v>
      </c>
      <c r="C219" s="5">
        <v>0.15138888888888888</v>
      </c>
    </row>
    <row r="220" spans="1:3" x14ac:dyDescent="0.25">
      <c r="A220" s="3">
        <v>0.76041666666666663</v>
      </c>
      <c r="B220" t="s">
        <v>289</v>
      </c>
      <c r="C220" s="5">
        <v>0.15208333333333332</v>
      </c>
    </row>
    <row r="221" spans="1:3" x14ac:dyDescent="0.25">
      <c r="A221" s="3">
        <v>0.76388888888888884</v>
      </c>
      <c r="B221" t="s">
        <v>290</v>
      </c>
      <c r="C221" s="5">
        <v>0.15277777777777779</v>
      </c>
    </row>
    <row r="222" spans="1:3" x14ac:dyDescent="0.25">
      <c r="A222" s="3">
        <v>0.76736111111111116</v>
      </c>
      <c r="B222" t="s">
        <v>291</v>
      </c>
      <c r="C222" s="5">
        <v>0.15347222222222223</v>
      </c>
    </row>
    <row r="223" spans="1:3" x14ac:dyDescent="0.25">
      <c r="A223" s="3">
        <v>0.77083333333333337</v>
      </c>
      <c r="B223" t="s">
        <v>292</v>
      </c>
      <c r="C223" s="5">
        <v>0.15416666666666667</v>
      </c>
    </row>
    <row r="224" spans="1:3" x14ac:dyDescent="0.25">
      <c r="A224" s="3">
        <v>0.77430555555555558</v>
      </c>
      <c r="B224" t="s">
        <v>293</v>
      </c>
      <c r="C224" s="5">
        <v>0.15486111111111112</v>
      </c>
    </row>
    <row r="225" spans="1:3" x14ac:dyDescent="0.25">
      <c r="A225" s="3">
        <v>0.77777777777777779</v>
      </c>
      <c r="B225" t="s">
        <v>294</v>
      </c>
      <c r="C225" s="5">
        <v>0.15555555555555556</v>
      </c>
    </row>
    <row r="226" spans="1:3" x14ac:dyDescent="0.25">
      <c r="A226" s="3">
        <v>0.78125</v>
      </c>
      <c r="B226" t="s">
        <v>295</v>
      </c>
      <c r="C226" s="5">
        <v>0.15625</v>
      </c>
    </row>
    <row r="227" spans="1:3" x14ac:dyDescent="0.25">
      <c r="A227" s="3">
        <v>0.78472222222222221</v>
      </c>
      <c r="B227" t="s">
        <v>296</v>
      </c>
      <c r="C227" s="5">
        <v>0.15694444444444444</v>
      </c>
    </row>
    <row r="228" spans="1:3" x14ac:dyDescent="0.25">
      <c r="A228" s="3">
        <v>0.78819444444444442</v>
      </c>
      <c r="B228" t="s">
        <v>297</v>
      </c>
      <c r="C228" s="5">
        <v>0.15763888888888888</v>
      </c>
    </row>
    <row r="229" spans="1:3" x14ac:dyDescent="0.25">
      <c r="A229" s="3">
        <v>0.79166666666666663</v>
      </c>
      <c r="B229" t="s">
        <v>298</v>
      </c>
      <c r="C229" s="5">
        <v>0.15833333333333333</v>
      </c>
    </row>
    <row r="230" spans="1:3" x14ac:dyDescent="0.25">
      <c r="A230" s="3">
        <v>0.79513888888888884</v>
      </c>
      <c r="B230" t="s">
        <v>299</v>
      </c>
      <c r="C230" s="5">
        <v>0.15902777777777777</v>
      </c>
    </row>
    <row r="231" spans="1:3" x14ac:dyDescent="0.25">
      <c r="A231" s="3">
        <v>0.79861111111111116</v>
      </c>
      <c r="B231" t="s">
        <v>300</v>
      </c>
      <c r="C231" s="5">
        <v>0.15972222222222221</v>
      </c>
    </row>
    <row r="232" spans="1:3" x14ac:dyDescent="0.25">
      <c r="A232" s="3">
        <v>0.80208333333333337</v>
      </c>
      <c r="B232" t="s">
        <v>301</v>
      </c>
      <c r="C232" s="5">
        <v>0.16041666666666668</v>
      </c>
    </row>
    <row r="233" spans="1:3" x14ac:dyDescent="0.25">
      <c r="A233" s="3">
        <v>0.80555555555555558</v>
      </c>
      <c r="B233" t="s">
        <v>302</v>
      </c>
      <c r="C233" s="5">
        <v>0.16111111111111112</v>
      </c>
    </row>
    <row r="234" spans="1:3" x14ac:dyDescent="0.25">
      <c r="A234" s="3">
        <v>0.80902777777777779</v>
      </c>
      <c r="B234" t="s">
        <v>303</v>
      </c>
      <c r="C234" s="5">
        <v>0.16180555555555556</v>
      </c>
    </row>
    <row r="235" spans="1:3" x14ac:dyDescent="0.25">
      <c r="A235" s="3">
        <v>0.8125</v>
      </c>
      <c r="B235" t="s">
        <v>304</v>
      </c>
      <c r="C235" s="5">
        <v>0.16250000000000001</v>
      </c>
    </row>
    <row r="236" spans="1:3" x14ac:dyDescent="0.25">
      <c r="A236" s="3">
        <v>0.81597222222222221</v>
      </c>
      <c r="B236" t="s">
        <v>305</v>
      </c>
      <c r="C236" s="5">
        <v>0.16319444444444445</v>
      </c>
    </row>
    <row r="237" spans="1:3" x14ac:dyDescent="0.25">
      <c r="A237" s="3">
        <v>0.81944444444444442</v>
      </c>
      <c r="B237" t="s">
        <v>306</v>
      </c>
      <c r="C237" s="5">
        <v>0.16388888888888889</v>
      </c>
    </row>
    <row r="238" spans="1:3" x14ac:dyDescent="0.25">
      <c r="A238" s="3">
        <v>0.82291666666666663</v>
      </c>
      <c r="B238" t="s">
        <v>307</v>
      </c>
      <c r="C238" s="5">
        <v>0.16458333333333333</v>
      </c>
    </row>
    <row r="239" spans="1:3" x14ac:dyDescent="0.25">
      <c r="A239" s="3">
        <v>0.82638888888888884</v>
      </c>
      <c r="B239" t="s">
        <v>308</v>
      </c>
      <c r="C239" s="5">
        <v>0.16527777777777777</v>
      </c>
    </row>
    <row r="240" spans="1:3" x14ac:dyDescent="0.25">
      <c r="A240" s="3">
        <v>0.82986111111111116</v>
      </c>
      <c r="B240" t="s">
        <v>309</v>
      </c>
      <c r="C240" s="5">
        <v>0.16597222222222222</v>
      </c>
    </row>
    <row r="241" spans="1:3" x14ac:dyDescent="0.25">
      <c r="A241" s="3">
        <v>0.83333333333333337</v>
      </c>
      <c r="B241" t="s">
        <v>310</v>
      </c>
      <c r="C241" s="5">
        <v>0.16666666666666666</v>
      </c>
    </row>
    <row r="242" spans="1:3" x14ac:dyDescent="0.25">
      <c r="A242" s="3">
        <v>0.83680555555555558</v>
      </c>
      <c r="B242" t="s">
        <v>311</v>
      </c>
      <c r="C242" s="5">
        <v>0.1673611111111111</v>
      </c>
    </row>
    <row r="243" spans="1:3" x14ac:dyDescent="0.25">
      <c r="A243" s="3">
        <v>0.84027777777777779</v>
      </c>
      <c r="B243" t="s">
        <v>312</v>
      </c>
      <c r="C243" s="5">
        <v>0.16805555555555557</v>
      </c>
    </row>
    <row r="244" spans="1:3" x14ac:dyDescent="0.25">
      <c r="A244" s="3">
        <v>0.84375</v>
      </c>
      <c r="B244" t="s">
        <v>313</v>
      </c>
      <c r="C244" s="5">
        <v>0.16875000000000001</v>
      </c>
    </row>
    <row r="245" spans="1:3" x14ac:dyDescent="0.25">
      <c r="A245" s="3">
        <v>0.84722222222222221</v>
      </c>
      <c r="B245" t="s">
        <v>314</v>
      </c>
      <c r="C245" s="5">
        <v>0.16944444444444445</v>
      </c>
    </row>
    <row r="246" spans="1:3" x14ac:dyDescent="0.25">
      <c r="A246" s="3">
        <v>0.85069444444444442</v>
      </c>
      <c r="B246" t="s">
        <v>315</v>
      </c>
      <c r="C246" s="5">
        <v>0.1701388888888889</v>
      </c>
    </row>
    <row r="247" spans="1:3" x14ac:dyDescent="0.25">
      <c r="A247" s="3">
        <v>0.85416666666666663</v>
      </c>
      <c r="B247" t="s">
        <v>316</v>
      </c>
      <c r="C247" s="5">
        <v>0.17083333333333334</v>
      </c>
    </row>
    <row r="248" spans="1:3" x14ac:dyDescent="0.25">
      <c r="A248" s="3">
        <v>0.85763888888888884</v>
      </c>
      <c r="B248" t="s">
        <v>317</v>
      </c>
      <c r="C248" s="5">
        <v>0.17152777777777778</v>
      </c>
    </row>
    <row r="249" spans="1:3" x14ac:dyDescent="0.25">
      <c r="A249" s="3">
        <v>0.86111111111111116</v>
      </c>
      <c r="B249" t="s">
        <v>318</v>
      </c>
      <c r="C249" s="5">
        <v>0.17222222222222222</v>
      </c>
    </row>
    <row r="250" spans="1:3" x14ac:dyDescent="0.25">
      <c r="A250" s="3">
        <v>0.86458333333333337</v>
      </c>
      <c r="B250" t="s">
        <v>319</v>
      </c>
      <c r="C250" s="5">
        <v>0.17291666666666666</v>
      </c>
    </row>
    <row r="251" spans="1:3" x14ac:dyDescent="0.25">
      <c r="A251" s="3">
        <v>0.86805555555555558</v>
      </c>
      <c r="B251" t="s">
        <v>320</v>
      </c>
      <c r="C251" s="5">
        <v>0.1736111111111111</v>
      </c>
    </row>
    <row r="252" spans="1:3" x14ac:dyDescent="0.25">
      <c r="A252" s="3">
        <v>0.87152777777777779</v>
      </c>
      <c r="B252" t="s">
        <v>321</v>
      </c>
      <c r="C252" s="5">
        <v>0.17430555555555555</v>
      </c>
    </row>
    <row r="253" spans="1:3" x14ac:dyDescent="0.25">
      <c r="A253" s="3">
        <v>0.875</v>
      </c>
      <c r="B253" t="s">
        <v>322</v>
      </c>
      <c r="C253" s="5">
        <v>0.17499999999999999</v>
      </c>
    </row>
    <row r="254" spans="1:3" x14ac:dyDescent="0.25">
      <c r="A254" s="3">
        <v>0.87847222222222221</v>
      </c>
      <c r="B254" t="s">
        <v>323</v>
      </c>
      <c r="C254" s="5">
        <v>0.17569444444444443</v>
      </c>
    </row>
    <row r="255" spans="1:3" x14ac:dyDescent="0.25">
      <c r="A255" s="3">
        <v>0.88194444444444442</v>
      </c>
      <c r="B255" t="s">
        <v>324</v>
      </c>
      <c r="C255" s="5">
        <v>0.1763888888888889</v>
      </c>
    </row>
    <row r="256" spans="1:3" x14ac:dyDescent="0.25">
      <c r="A256" s="3">
        <v>0.88541666666666663</v>
      </c>
      <c r="B256" t="s">
        <v>325</v>
      </c>
      <c r="C256" s="5">
        <v>0.17708333333333334</v>
      </c>
    </row>
    <row r="257" spans="1:3" x14ac:dyDescent="0.25">
      <c r="A257" s="3">
        <v>0.88888888888888884</v>
      </c>
      <c r="B257" t="s">
        <v>326</v>
      </c>
      <c r="C257" s="5">
        <v>0.17777777777777778</v>
      </c>
    </row>
    <row r="258" spans="1:3" x14ac:dyDescent="0.25">
      <c r="A258" s="3">
        <v>0.89236111111111116</v>
      </c>
      <c r="B258" t="s">
        <v>327</v>
      </c>
      <c r="C258" s="5">
        <v>0.17847222222222223</v>
      </c>
    </row>
    <row r="259" spans="1:3" x14ac:dyDescent="0.25">
      <c r="A259" s="3">
        <v>0.89583333333333337</v>
      </c>
      <c r="B259" t="s">
        <v>328</v>
      </c>
      <c r="C259" s="5">
        <v>0.17916666666666667</v>
      </c>
    </row>
    <row r="260" spans="1:3" x14ac:dyDescent="0.25">
      <c r="A260" s="3">
        <v>0.89930555555555558</v>
      </c>
      <c r="B260" t="s">
        <v>329</v>
      </c>
      <c r="C260" s="5">
        <v>0.17986111111111111</v>
      </c>
    </row>
    <row r="261" spans="1:3" x14ac:dyDescent="0.25">
      <c r="A261" s="3">
        <v>0.90277777777777779</v>
      </c>
      <c r="B261" t="s">
        <v>330</v>
      </c>
      <c r="C261" s="5">
        <v>0.18055555555555555</v>
      </c>
    </row>
    <row r="262" spans="1:3" x14ac:dyDescent="0.25">
      <c r="A262" s="3">
        <v>0.90625</v>
      </c>
      <c r="B262" t="s">
        <v>331</v>
      </c>
      <c r="C262" s="5">
        <v>0.18124999999999999</v>
      </c>
    </row>
    <row r="263" spans="1:3" x14ac:dyDescent="0.25">
      <c r="A263" s="3">
        <v>0.90972222222222221</v>
      </c>
      <c r="B263" t="s">
        <v>332</v>
      </c>
      <c r="C263" s="5">
        <v>0.18194444444444444</v>
      </c>
    </row>
    <row r="264" spans="1:3" x14ac:dyDescent="0.25">
      <c r="A264" s="3">
        <v>0.91319444444444442</v>
      </c>
      <c r="B264" t="s">
        <v>333</v>
      </c>
      <c r="C264" s="5">
        <v>0.18263888888888888</v>
      </c>
    </row>
    <row r="265" spans="1:3" x14ac:dyDescent="0.25">
      <c r="A265" s="3">
        <v>0.91666666666666663</v>
      </c>
      <c r="B265" t="s">
        <v>334</v>
      </c>
      <c r="C265" s="5">
        <v>0.18333333333333332</v>
      </c>
    </row>
    <row r="266" spans="1:3" x14ac:dyDescent="0.25">
      <c r="A266" s="3">
        <v>0.92013888888888884</v>
      </c>
      <c r="B266" t="s">
        <v>335</v>
      </c>
      <c r="C266" s="5">
        <v>0.18402777777777779</v>
      </c>
    </row>
    <row r="267" spans="1:3" x14ac:dyDescent="0.25">
      <c r="A267" s="3">
        <v>0.92361111111111116</v>
      </c>
      <c r="B267" t="s">
        <v>336</v>
      </c>
      <c r="C267" s="5">
        <v>0.18472222222222223</v>
      </c>
    </row>
    <row r="268" spans="1:3" x14ac:dyDescent="0.25">
      <c r="A268" s="3">
        <v>0.92708333333333337</v>
      </c>
      <c r="B268" t="s">
        <v>337</v>
      </c>
      <c r="C268" s="5">
        <v>0.18541666666666667</v>
      </c>
    </row>
    <row r="269" spans="1:3" x14ac:dyDescent="0.25">
      <c r="A269" s="3">
        <v>0.93055555555555558</v>
      </c>
      <c r="B269" t="s">
        <v>338</v>
      </c>
      <c r="C269" s="5">
        <v>0.18611111111111112</v>
      </c>
    </row>
    <row r="270" spans="1:3" x14ac:dyDescent="0.25">
      <c r="A270" s="3">
        <v>0.93402777777777779</v>
      </c>
      <c r="B270" t="s">
        <v>339</v>
      </c>
      <c r="C270" s="5">
        <v>0.18680555555555556</v>
      </c>
    </row>
    <row r="271" spans="1:3" x14ac:dyDescent="0.25">
      <c r="A271" s="3">
        <v>0.9375</v>
      </c>
      <c r="B271" t="s">
        <v>340</v>
      </c>
      <c r="C271" s="5">
        <v>0.1875</v>
      </c>
    </row>
    <row r="272" spans="1:3" x14ac:dyDescent="0.25">
      <c r="A272" s="3">
        <v>0.94097222222222221</v>
      </c>
      <c r="B272" t="s">
        <v>341</v>
      </c>
      <c r="C272" s="5">
        <v>0.18819444444444444</v>
      </c>
    </row>
    <row r="273" spans="1:3" x14ac:dyDescent="0.25">
      <c r="A273" s="3">
        <v>0.94444444444444442</v>
      </c>
      <c r="B273" t="s">
        <v>342</v>
      </c>
      <c r="C273" s="5">
        <v>0.18888888888888888</v>
      </c>
    </row>
    <row r="274" spans="1:3" x14ac:dyDescent="0.25">
      <c r="A274" s="3">
        <v>0.94791666666666663</v>
      </c>
      <c r="B274" t="s">
        <v>343</v>
      </c>
      <c r="C274" s="5">
        <v>0.18958333333333333</v>
      </c>
    </row>
    <row r="275" spans="1:3" x14ac:dyDescent="0.25">
      <c r="A275" s="3">
        <v>0.95138888888888884</v>
      </c>
      <c r="B275" t="s">
        <v>344</v>
      </c>
      <c r="C275" s="5">
        <v>0.19027777777777777</v>
      </c>
    </row>
    <row r="276" spans="1:3" x14ac:dyDescent="0.25">
      <c r="A276" s="3">
        <v>0.95486111111111116</v>
      </c>
      <c r="B276" t="s">
        <v>345</v>
      </c>
      <c r="C276" s="5">
        <v>0.19097222222222221</v>
      </c>
    </row>
    <row r="277" spans="1:3" x14ac:dyDescent="0.25">
      <c r="A277" s="3">
        <v>0.95833333333333337</v>
      </c>
      <c r="B277" t="s">
        <v>346</v>
      </c>
      <c r="C277" s="5">
        <v>0.19166666666666668</v>
      </c>
    </row>
    <row r="278" spans="1:3" x14ac:dyDescent="0.25">
      <c r="A278" s="3">
        <v>0.96180555555555558</v>
      </c>
      <c r="B278" t="s">
        <v>347</v>
      </c>
      <c r="C278" s="5">
        <v>0.19236111111111112</v>
      </c>
    </row>
    <row r="279" spans="1:3" x14ac:dyDescent="0.25">
      <c r="A279" s="3">
        <v>0.96527777777777779</v>
      </c>
      <c r="B279" t="s">
        <v>348</v>
      </c>
      <c r="C279" s="5">
        <v>0.19305555555555556</v>
      </c>
    </row>
    <row r="280" spans="1:3" x14ac:dyDescent="0.25">
      <c r="A280" s="3">
        <v>0.96875</v>
      </c>
      <c r="B280" t="s">
        <v>349</v>
      </c>
      <c r="C280" s="5">
        <v>0.19375000000000001</v>
      </c>
    </row>
    <row r="281" spans="1:3" x14ac:dyDescent="0.25">
      <c r="A281" s="3">
        <v>0.97222222222222221</v>
      </c>
      <c r="B281" t="s">
        <v>350</v>
      </c>
      <c r="C281" s="5">
        <v>0.19444444444444445</v>
      </c>
    </row>
    <row r="282" spans="1:3" x14ac:dyDescent="0.25">
      <c r="A282" s="3">
        <v>0.97569444444444442</v>
      </c>
      <c r="B282" t="s">
        <v>351</v>
      </c>
      <c r="C282" s="5">
        <v>0.19513888888888889</v>
      </c>
    </row>
    <row r="283" spans="1:3" x14ac:dyDescent="0.25">
      <c r="A283" s="3">
        <v>0.97916666666666663</v>
      </c>
      <c r="B283" t="s">
        <v>352</v>
      </c>
      <c r="C283" s="5">
        <v>0.19583333333333333</v>
      </c>
    </row>
    <row r="284" spans="1:3" x14ac:dyDescent="0.25">
      <c r="A284" s="3">
        <v>0.98263888888888884</v>
      </c>
      <c r="B284" t="s">
        <v>353</v>
      </c>
      <c r="C284" s="5">
        <v>0.19652777777777777</v>
      </c>
    </row>
    <row r="285" spans="1:3" x14ac:dyDescent="0.25">
      <c r="A285" s="3">
        <v>0.98611111111111116</v>
      </c>
      <c r="B285" t="s">
        <v>354</v>
      </c>
      <c r="C285" s="5">
        <v>0.19722222222222222</v>
      </c>
    </row>
    <row r="286" spans="1:3" x14ac:dyDescent="0.25">
      <c r="A286" s="3">
        <v>0.98958333333333337</v>
      </c>
      <c r="B286" t="s">
        <v>355</v>
      </c>
      <c r="C286" s="5">
        <v>0.19791666666666666</v>
      </c>
    </row>
    <row r="287" spans="1:3" x14ac:dyDescent="0.25">
      <c r="A287" s="3">
        <v>0.99305555555555558</v>
      </c>
      <c r="B287" t="s">
        <v>356</v>
      </c>
      <c r="C287" s="5">
        <v>0.1986111111111111</v>
      </c>
    </row>
    <row r="288" spans="1:3" x14ac:dyDescent="0.25">
      <c r="A288" s="3">
        <v>0.99652777777777779</v>
      </c>
      <c r="B288" t="s">
        <v>357</v>
      </c>
      <c r="C288" s="5">
        <v>0.19930555555555557</v>
      </c>
    </row>
    <row r="289" spans="3:3" x14ac:dyDescent="0.25">
      <c r="C289" s="5">
        <v>0.2</v>
      </c>
    </row>
    <row r="290" spans="3:3" x14ac:dyDescent="0.25">
      <c r="C290" s="5">
        <v>0.20069444444444445</v>
      </c>
    </row>
    <row r="291" spans="3:3" x14ac:dyDescent="0.25">
      <c r="C291" s="5">
        <v>0.2013888888888889</v>
      </c>
    </row>
    <row r="292" spans="3:3" x14ac:dyDescent="0.25">
      <c r="C292" s="5">
        <v>0.20208333333333334</v>
      </c>
    </row>
    <row r="293" spans="3:3" x14ac:dyDescent="0.25">
      <c r="C293" s="5">
        <v>0.20277777777777778</v>
      </c>
    </row>
    <row r="294" spans="3:3" x14ac:dyDescent="0.25">
      <c r="C294" s="5">
        <v>0.20347222222222222</v>
      </c>
    </row>
    <row r="295" spans="3:3" x14ac:dyDescent="0.25">
      <c r="C295" s="5">
        <v>0.20416666666666666</v>
      </c>
    </row>
    <row r="296" spans="3:3" x14ac:dyDescent="0.25">
      <c r="C296" s="5">
        <v>0.2048611111111111</v>
      </c>
    </row>
    <row r="297" spans="3:3" x14ac:dyDescent="0.25">
      <c r="C297" s="5">
        <v>0.20555555555555555</v>
      </c>
    </row>
    <row r="298" spans="3:3" x14ac:dyDescent="0.25">
      <c r="C298" s="5">
        <v>0.20624999999999999</v>
      </c>
    </row>
    <row r="299" spans="3:3" x14ac:dyDescent="0.25">
      <c r="C299" s="5">
        <v>0.20694444444444443</v>
      </c>
    </row>
    <row r="300" spans="3:3" x14ac:dyDescent="0.25">
      <c r="C300" s="5">
        <v>0.2076388888888889</v>
      </c>
    </row>
    <row r="301" spans="3:3" x14ac:dyDescent="0.25">
      <c r="C301" s="5">
        <v>0.20833333333333334</v>
      </c>
    </row>
    <row r="302" spans="3:3" x14ac:dyDescent="0.25">
      <c r="C302" s="5">
        <v>0.20902777777777778</v>
      </c>
    </row>
    <row r="303" spans="3:3" x14ac:dyDescent="0.25">
      <c r="C303" s="5">
        <v>0.20972222222222223</v>
      </c>
    </row>
    <row r="304" spans="3:3" x14ac:dyDescent="0.25">
      <c r="C304" s="5">
        <v>0.21041666666666667</v>
      </c>
    </row>
    <row r="305" spans="3:3" x14ac:dyDescent="0.25">
      <c r="C305" s="5">
        <v>0.21111111111111111</v>
      </c>
    </row>
    <row r="306" spans="3:3" x14ac:dyDescent="0.25">
      <c r="C306" s="5">
        <v>0.21180555555555555</v>
      </c>
    </row>
    <row r="307" spans="3:3" x14ac:dyDescent="0.25">
      <c r="C307" s="5">
        <v>0.21249999999999999</v>
      </c>
    </row>
    <row r="308" spans="3:3" x14ac:dyDescent="0.25">
      <c r="C308" s="5">
        <v>0.21319444444444444</v>
      </c>
    </row>
    <row r="309" spans="3:3" x14ac:dyDescent="0.25">
      <c r="C309" s="5">
        <v>0.21388888888888888</v>
      </c>
    </row>
    <row r="310" spans="3:3" x14ac:dyDescent="0.25">
      <c r="C310" s="5">
        <v>0.21458333333333332</v>
      </c>
    </row>
    <row r="311" spans="3:3" x14ac:dyDescent="0.25">
      <c r="C311" s="5">
        <v>0.21527777777777779</v>
      </c>
    </row>
    <row r="312" spans="3:3" x14ac:dyDescent="0.25">
      <c r="C312" s="5">
        <v>0.21597222222222223</v>
      </c>
    </row>
    <row r="313" spans="3:3" x14ac:dyDescent="0.25">
      <c r="C313" s="5">
        <v>0.21666666666666667</v>
      </c>
    </row>
    <row r="314" spans="3:3" x14ac:dyDescent="0.25">
      <c r="C314" s="5">
        <v>0.21736111111111112</v>
      </c>
    </row>
    <row r="315" spans="3:3" x14ac:dyDescent="0.25">
      <c r="C315" s="5">
        <v>0.21805555555555556</v>
      </c>
    </row>
    <row r="316" spans="3:3" x14ac:dyDescent="0.25">
      <c r="C316" s="5">
        <v>0.21875</v>
      </c>
    </row>
    <row r="317" spans="3:3" x14ac:dyDescent="0.25">
      <c r="C317" s="5">
        <v>0.21944444444444444</v>
      </c>
    </row>
    <row r="318" spans="3:3" x14ac:dyDescent="0.25">
      <c r="C318" s="5">
        <v>0.22013888888888888</v>
      </c>
    </row>
    <row r="319" spans="3:3" x14ac:dyDescent="0.25">
      <c r="C319" s="5">
        <v>0.22083333333333333</v>
      </c>
    </row>
    <row r="320" spans="3:3" x14ac:dyDescent="0.25">
      <c r="C320" s="5">
        <v>0.22152777777777777</v>
      </c>
    </row>
    <row r="321" spans="3:3" x14ac:dyDescent="0.25">
      <c r="C321" s="5">
        <v>0.22222222222222221</v>
      </c>
    </row>
    <row r="322" spans="3:3" x14ac:dyDescent="0.25">
      <c r="C322" s="5">
        <v>0.22291666666666668</v>
      </c>
    </row>
    <row r="323" spans="3:3" x14ac:dyDescent="0.25">
      <c r="C323" s="5">
        <v>0.22361111111111112</v>
      </c>
    </row>
    <row r="324" spans="3:3" x14ac:dyDescent="0.25">
      <c r="C324" s="5">
        <v>0.22430555555555556</v>
      </c>
    </row>
    <row r="325" spans="3:3" x14ac:dyDescent="0.25">
      <c r="C325" s="5">
        <v>0.22500000000000001</v>
      </c>
    </row>
    <row r="326" spans="3:3" x14ac:dyDescent="0.25">
      <c r="C326" s="5">
        <v>0.22569444444444445</v>
      </c>
    </row>
    <row r="327" spans="3:3" x14ac:dyDescent="0.25">
      <c r="C327" s="5">
        <v>0.22638888888888889</v>
      </c>
    </row>
    <row r="328" spans="3:3" x14ac:dyDescent="0.25">
      <c r="C328" s="5">
        <v>0.22708333333333333</v>
      </c>
    </row>
    <row r="329" spans="3:3" x14ac:dyDescent="0.25">
      <c r="C329" s="5">
        <v>0.22777777777777777</v>
      </c>
    </row>
    <row r="330" spans="3:3" x14ac:dyDescent="0.25">
      <c r="C330" s="5">
        <v>0.22847222222222222</v>
      </c>
    </row>
    <row r="331" spans="3:3" x14ac:dyDescent="0.25">
      <c r="C331" s="5">
        <v>0.22916666666666666</v>
      </c>
    </row>
    <row r="332" spans="3:3" x14ac:dyDescent="0.25">
      <c r="C332" s="5">
        <v>0.2298611111111111</v>
      </c>
    </row>
    <row r="333" spans="3:3" x14ac:dyDescent="0.25">
      <c r="C333" s="5">
        <v>0.23055555555555557</v>
      </c>
    </row>
    <row r="334" spans="3:3" x14ac:dyDescent="0.25">
      <c r="C334" s="5">
        <v>0.23125000000000001</v>
      </c>
    </row>
    <row r="335" spans="3:3" x14ac:dyDescent="0.25">
      <c r="C335" s="5">
        <v>0.23194444444444445</v>
      </c>
    </row>
    <row r="336" spans="3:3" x14ac:dyDescent="0.25">
      <c r="C336" s="5">
        <v>0.2326388888888889</v>
      </c>
    </row>
    <row r="337" spans="3:3" x14ac:dyDescent="0.25">
      <c r="C337" s="5">
        <v>0.23333333333333334</v>
      </c>
    </row>
    <row r="338" spans="3:3" x14ac:dyDescent="0.25">
      <c r="C338" s="5">
        <v>0.23402777777777778</v>
      </c>
    </row>
    <row r="339" spans="3:3" x14ac:dyDescent="0.25">
      <c r="C339" s="5">
        <v>0.23472222222222222</v>
      </c>
    </row>
    <row r="340" spans="3:3" x14ac:dyDescent="0.25">
      <c r="C340" s="5">
        <v>0.23541666666666666</v>
      </c>
    </row>
    <row r="341" spans="3:3" x14ac:dyDescent="0.25">
      <c r="C341" s="5">
        <v>0.2361111111111111</v>
      </c>
    </row>
    <row r="342" spans="3:3" x14ac:dyDescent="0.25">
      <c r="C342" s="5">
        <v>0.23680555555555555</v>
      </c>
    </row>
    <row r="343" spans="3:3" x14ac:dyDescent="0.25">
      <c r="C343" s="5">
        <v>0.23749999999999999</v>
      </c>
    </row>
    <row r="344" spans="3:3" x14ac:dyDescent="0.25">
      <c r="C344" s="5">
        <v>0.23819444444444443</v>
      </c>
    </row>
    <row r="345" spans="3:3" x14ac:dyDescent="0.25">
      <c r="C345" s="5">
        <v>0.2388888888888889</v>
      </c>
    </row>
    <row r="346" spans="3:3" x14ac:dyDescent="0.25">
      <c r="C346" s="5">
        <v>0.23958333333333334</v>
      </c>
    </row>
    <row r="347" spans="3:3" x14ac:dyDescent="0.25">
      <c r="C347" s="5">
        <v>0.24027777777777778</v>
      </c>
    </row>
    <row r="348" spans="3:3" x14ac:dyDescent="0.25">
      <c r="C348" s="5">
        <v>0.24097222222222223</v>
      </c>
    </row>
    <row r="349" spans="3:3" x14ac:dyDescent="0.25">
      <c r="C349" s="5">
        <v>0.24166666666666667</v>
      </c>
    </row>
    <row r="350" spans="3:3" x14ac:dyDescent="0.25">
      <c r="C350" s="5">
        <v>0.24236111111111111</v>
      </c>
    </row>
    <row r="351" spans="3:3" x14ac:dyDescent="0.25">
      <c r="C351" s="5">
        <v>0.24305555555555555</v>
      </c>
    </row>
    <row r="352" spans="3:3" x14ac:dyDescent="0.25">
      <c r="C352" s="5">
        <v>0.24374999999999999</v>
      </c>
    </row>
    <row r="353" spans="3:3" x14ac:dyDescent="0.25">
      <c r="C353" s="5">
        <v>0.24444444444444444</v>
      </c>
    </row>
    <row r="354" spans="3:3" x14ac:dyDescent="0.25">
      <c r="C354" s="5">
        <v>0.24513888888888888</v>
      </c>
    </row>
    <row r="355" spans="3:3" x14ac:dyDescent="0.25">
      <c r="C355" s="5">
        <v>0.24583333333333332</v>
      </c>
    </row>
    <row r="356" spans="3:3" x14ac:dyDescent="0.25">
      <c r="C356" s="5">
        <v>0.24652777777777779</v>
      </c>
    </row>
    <row r="357" spans="3:3" x14ac:dyDescent="0.25">
      <c r="C357" s="5">
        <v>0.24722222222222223</v>
      </c>
    </row>
    <row r="358" spans="3:3" x14ac:dyDescent="0.25">
      <c r="C358" s="5">
        <v>0.24791666666666667</v>
      </c>
    </row>
    <row r="359" spans="3:3" x14ac:dyDescent="0.25">
      <c r="C359" s="5">
        <v>0.24861111111111112</v>
      </c>
    </row>
    <row r="360" spans="3:3" x14ac:dyDescent="0.25">
      <c r="C360" s="5">
        <v>0.24930555555555556</v>
      </c>
    </row>
    <row r="361" spans="3:3" x14ac:dyDescent="0.25">
      <c r="C361" s="5">
        <v>0.25</v>
      </c>
    </row>
    <row r="362" spans="3:3" x14ac:dyDescent="0.25">
      <c r="C362" s="5">
        <v>0.25069444444444444</v>
      </c>
    </row>
    <row r="363" spans="3:3" x14ac:dyDescent="0.25">
      <c r="C363" s="5">
        <v>0.25138888888888888</v>
      </c>
    </row>
    <row r="364" spans="3:3" x14ac:dyDescent="0.25">
      <c r="C364" s="5">
        <v>0.25208333333333333</v>
      </c>
    </row>
    <row r="365" spans="3:3" x14ac:dyDescent="0.25">
      <c r="C365" s="5">
        <v>0.25277777777777777</v>
      </c>
    </row>
    <row r="366" spans="3:3" x14ac:dyDescent="0.25">
      <c r="C366" s="5">
        <v>0.25347222222222221</v>
      </c>
    </row>
    <row r="367" spans="3:3" x14ac:dyDescent="0.25">
      <c r="C367" s="5">
        <v>0.25416666666666665</v>
      </c>
    </row>
    <row r="368" spans="3:3" x14ac:dyDescent="0.25">
      <c r="C368" s="5">
        <v>0.25486111111111109</v>
      </c>
    </row>
    <row r="369" spans="3:3" x14ac:dyDescent="0.25">
      <c r="C369" s="5">
        <v>0.25555555555555554</v>
      </c>
    </row>
    <row r="370" spans="3:3" x14ac:dyDescent="0.25">
      <c r="C370" s="5">
        <v>0.25624999999999998</v>
      </c>
    </row>
    <row r="371" spans="3:3" x14ac:dyDescent="0.25">
      <c r="C371" s="5">
        <v>0.25694444444444442</v>
      </c>
    </row>
    <row r="372" spans="3:3" x14ac:dyDescent="0.25">
      <c r="C372" s="5">
        <v>0.25763888888888886</v>
      </c>
    </row>
    <row r="373" spans="3:3" x14ac:dyDescent="0.25">
      <c r="C373" s="5">
        <v>0.25833333333333336</v>
      </c>
    </row>
    <row r="374" spans="3:3" x14ac:dyDescent="0.25">
      <c r="C374" s="5">
        <v>0.2590277777777778</v>
      </c>
    </row>
    <row r="375" spans="3:3" x14ac:dyDescent="0.25">
      <c r="C375" s="5">
        <v>0.25972222222222224</v>
      </c>
    </row>
    <row r="376" spans="3:3" x14ac:dyDescent="0.25">
      <c r="C376" s="5">
        <v>0.26041666666666669</v>
      </c>
    </row>
    <row r="377" spans="3:3" x14ac:dyDescent="0.25">
      <c r="C377" s="5">
        <v>0.26111111111111113</v>
      </c>
    </row>
    <row r="378" spans="3:3" x14ac:dyDescent="0.25">
      <c r="C378" s="5">
        <v>0.26180555555555557</v>
      </c>
    </row>
    <row r="379" spans="3:3" x14ac:dyDescent="0.25">
      <c r="C379" s="5">
        <v>0.26250000000000001</v>
      </c>
    </row>
    <row r="380" spans="3:3" x14ac:dyDescent="0.25">
      <c r="C380" s="5">
        <v>0.26319444444444445</v>
      </c>
    </row>
    <row r="381" spans="3:3" x14ac:dyDescent="0.25">
      <c r="C381" s="5">
        <v>0.2638888888888889</v>
      </c>
    </row>
    <row r="382" spans="3:3" x14ac:dyDescent="0.25">
      <c r="C382" s="5">
        <v>0.26458333333333334</v>
      </c>
    </row>
    <row r="383" spans="3:3" x14ac:dyDescent="0.25">
      <c r="C383" s="5">
        <v>0.26527777777777778</v>
      </c>
    </row>
    <row r="384" spans="3:3" x14ac:dyDescent="0.25">
      <c r="C384" s="5">
        <v>0.26597222222222222</v>
      </c>
    </row>
    <row r="385" spans="3:3" x14ac:dyDescent="0.25">
      <c r="C385" s="5">
        <v>0.26666666666666666</v>
      </c>
    </row>
    <row r="386" spans="3:3" x14ac:dyDescent="0.25">
      <c r="C386" s="5">
        <v>0.2673611111111111</v>
      </c>
    </row>
    <row r="387" spans="3:3" x14ac:dyDescent="0.25">
      <c r="C387" s="5">
        <v>0.26805555555555555</v>
      </c>
    </row>
    <row r="388" spans="3:3" x14ac:dyDescent="0.25">
      <c r="C388" s="5">
        <v>0.26874999999999999</v>
      </c>
    </row>
    <row r="389" spans="3:3" x14ac:dyDescent="0.25">
      <c r="C389" s="5">
        <v>0.26944444444444443</v>
      </c>
    </row>
    <row r="390" spans="3:3" x14ac:dyDescent="0.25">
      <c r="C390" s="5">
        <v>0.27013888888888887</v>
      </c>
    </row>
    <row r="391" spans="3:3" x14ac:dyDescent="0.25">
      <c r="C391" s="5">
        <v>0.27083333333333331</v>
      </c>
    </row>
    <row r="392" spans="3:3" x14ac:dyDescent="0.25">
      <c r="C392" s="5">
        <v>0.27152777777777776</v>
      </c>
    </row>
    <row r="393" spans="3:3" x14ac:dyDescent="0.25">
      <c r="C393" s="5">
        <v>0.2722222222222222</v>
      </c>
    </row>
    <row r="394" spans="3:3" x14ac:dyDescent="0.25">
      <c r="C394" s="5">
        <v>0.27291666666666664</v>
      </c>
    </row>
    <row r="395" spans="3:3" x14ac:dyDescent="0.25">
      <c r="C395" s="5">
        <v>0.27361111111111114</v>
      </c>
    </row>
    <row r="396" spans="3:3" x14ac:dyDescent="0.25">
      <c r="C396" s="5">
        <v>0.27430555555555558</v>
      </c>
    </row>
    <row r="397" spans="3:3" x14ac:dyDescent="0.25">
      <c r="C397" s="5">
        <v>0.27500000000000002</v>
      </c>
    </row>
    <row r="398" spans="3:3" x14ac:dyDescent="0.25">
      <c r="C398" s="5">
        <v>0.27569444444444446</v>
      </c>
    </row>
    <row r="399" spans="3:3" x14ac:dyDescent="0.25">
      <c r="C399" s="5">
        <v>0.27638888888888891</v>
      </c>
    </row>
    <row r="400" spans="3:3" x14ac:dyDescent="0.25">
      <c r="C400" s="5">
        <v>0.27708333333333335</v>
      </c>
    </row>
    <row r="401" spans="3:3" x14ac:dyDescent="0.25">
      <c r="C401" s="5">
        <v>0.27777777777777779</v>
      </c>
    </row>
    <row r="402" spans="3:3" x14ac:dyDescent="0.25">
      <c r="C402" s="5">
        <v>0.27847222222222223</v>
      </c>
    </row>
    <row r="403" spans="3:3" x14ac:dyDescent="0.25">
      <c r="C403" s="5">
        <v>0.27916666666666667</v>
      </c>
    </row>
    <row r="404" spans="3:3" x14ac:dyDescent="0.25">
      <c r="C404" s="5">
        <v>0.27986111111111112</v>
      </c>
    </row>
    <row r="405" spans="3:3" x14ac:dyDescent="0.25">
      <c r="C405" s="5">
        <v>0.28055555555555556</v>
      </c>
    </row>
    <row r="406" spans="3:3" x14ac:dyDescent="0.25">
      <c r="C406" s="5">
        <v>0.28125</v>
      </c>
    </row>
    <row r="407" spans="3:3" x14ac:dyDescent="0.25">
      <c r="C407" s="5">
        <v>0.28194444444444444</v>
      </c>
    </row>
    <row r="408" spans="3:3" x14ac:dyDescent="0.25">
      <c r="C408" s="5">
        <v>0.28263888888888888</v>
      </c>
    </row>
    <row r="409" spans="3:3" x14ac:dyDescent="0.25">
      <c r="C409" s="5">
        <v>0.28333333333333333</v>
      </c>
    </row>
    <row r="410" spans="3:3" x14ac:dyDescent="0.25">
      <c r="C410" s="5">
        <v>0.28402777777777777</v>
      </c>
    </row>
    <row r="411" spans="3:3" x14ac:dyDescent="0.25">
      <c r="C411" s="5">
        <v>0.28472222222222221</v>
      </c>
    </row>
    <row r="412" spans="3:3" x14ac:dyDescent="0.25">
      <c r="C412" s="5">
        <v>0.28541666666666665</v>
      </c>
    </row>
    <row r="413" spans="3:3" x14ac:dyDescent="0.25">
      <c r="C413" s="5">
        <v>0.28611111111111109</v>
      </c>
    </row>
    <row r="414" spans="3:3" x14ac:dyDescent="0.25">
      <c r="C414" s="5">
        <v>0.28680555555555554</v>
      </c>
    </row>
    <row r="415" spans="3:3" x14ac:dyDescent="0.25">
      <c r="C415" s="5">
        <v>0.28749999999999998</v>
      </c>
    </row>
    <row r="416" spans="3:3" x14ac:dyDescent="0.25">
      <c r="C416" s="5">
        <v>0.28819444444444442</v>
      </c>
    </row>
    <row r="417" spans="3:3" x14ac:dyDescent="0.25">
      <c r="C417" s="5">
        <v>0.28888888888888886</v>
      </c>
    </row>
    <row r="418" spans="3:3" x14ac:dyDescent="0.25">
      <c r="C418" s="5">
        <v>0.28958333333333336</v>
      </c>
    </row>
    <row r="419" spans="3:3" x14ac:dyDescent="0.25">
      <c r="C419" s="5">
        <v>0.2902777777777778</v>
      </c>
    </row>
    <row r="420" spans="3:3" x14ac:dyDescent="0.25">
      <c r="C420" s="5">
        <v>0.29097222222222224</v>
      </c>
    </row>
    <row r="421" spans="3:3" x14ac:dyDescent="0.25">
      <c r="C421" s="5">
        <v>0.29166666666666669</v>
      </c>
    </row>
    <row r="422" spans="3:3" x14ac:dyDescent="0.25">
      <c r="C422" s="5">
        <v>0.29236111111111113</v>
      </c>
    </row>
    <row r="423" spans="3:3" x14ac:dyDescent="0.25">
      <c r="C423" s="5">
        <v>0.29305555555555557</v>
      </c>
    </row>
    <row r="424" spans="3:3" x14ac:dyDescent="0.25">
      <c r="C424" s="5">
        <v>0.29375000000000001</v>
      </c>
    </row>
    <row r="425" spans="3:3" x14ac:dyDescent="0.25">
      <c r="C425" s="5">
        <v>0.29444444444444445</v>
      </c>
    </row>
    <row r="426" spans="3:3" x14ac:dyDescent="0.25">
      <c r="C426" s="5">
        <v>0.2951388888888889</v>
      </c>
    </row>
    <row r="427" spans="3:3" x14ac:dyDescent="0.25">
      <c r="C427" s="5">
        <v>0.29583333333333334</v>
      </c>
    </row>
    <row r="428" spans="3:3" x14ac:dyDescent="0.25">
      <c r="C428" s="5">
        <v>0.29652777777777778</v>
      </c>
    </row>
    <row r="429" spans="3:3" x14ac:dyDescent="0.25">
      <c r="C429" s="5">
        <v>0.29722222222222222</v>
      </c>
    </row>
    <row r="430" spans="3:3" x14ac:dyDescent="0.25">
      <c r="C430" s="5">
        <v>0.29791666666666666</v>
      </c>
    </row>
    <row r="431" spans="3:3" x14ac:dyDescent="0.25">
      <c r="C431" s="5">
        <v>0.2986111111111111</v>
      </c>
    </row>
    <row r="432" spans="3:3" x14ac:dyDescent="0.25">
      <c r="C432" s="5">
        <v>0.29930555555555555</v>
      </c>
    </row>
    <row r="433" spans="3:3" x14ac:dyDescent="0.25">
      <c r="C433" s="5">
        <v>0.3</v>
      </c>
    </row>
    <row r="434" spans="3:3" x14ac:dyDescent="0.25">
      <c r="C434" s="5">
        <v>0.30069444444444443</v>
      </c>
    </row>
    <row r="435" spans="3:3" x14ac:dyDescent="0.25">
      <c r="C435" s="5">
        <v>0.30138888888888887</v>
      </c>
    </row>
    <row r="436" spans="3:3" x14ac:dyDescent="0.25">
      <c r="C436" s="5">
        <v>0.30208333333333331</v>
      </c>
    </row>
    <row r="437" spans="3:3" x14ac:dyDescent="0.25">
      <c r="C437" s="5">
        <v>0.30277777777777776</v>
      </c>
    </row>
    <row r="438" spans="3:3" x14ac:dyDescent="0.25">
      <c r="C438" s="5">
        <v>0.3034722222222222</v>
      </c>
    </row>
    <row r="439" spans="3:3" x14ac:dyDescent="0.25">
      <c r="C439" s="5">
        <v>0.30416666666666664</v>
      </c>
    </row>
    <row r="440" spans="3:3" x14ac:dyDescent="0.25">
      <c r="C440" s="5">
        <v>0.30486111111111114</v>
      </c>
    </row>
    <row r="441" spans="3:3" x14ac:dyDescent="0.25">
      <c r="C441" s="5">
        <v>0.30555555555555558</v>
      </c>
    </row>
    <row r="442" spans="3:3" x14ac:dyDescent="0.25">
      <c r="C442" s="5">
        <v>0.30625000000000002</v>
      </c>
    </row>
    <row r="443" spans="3:3" x14ac:dyDescent="0.25">
      <c r="C443" s="5">
        <v>0.30694444444444446</v>
      </c>
    </row>
    <row r="444" spans="3:3" x14ac:dyDescent="0.25">
      <c r="C444" s="5">
        <v>0.30763888888888891</v>
      </c>
    </row>
    <row r="445" spans="3:3" x14ac:dyDescent="0.25">
      <c r="C445" s="5">
        <v>0.30833333333333335</v>
      </c>
    </row>
    <row r="446" spans="3:3" x14ac:dyDescent="0.25">
      <c r="C446" s="5">
        <v>0.30902777777777779</v>
      </c>
    </row>
    <row r="447" spans="3:3" x14ac:dyDescent="0.25">
      <c r="C447" s="5">
        <v>0.30972222222222223</v>
      </c>
    </row>
    <row r="448" spans="3:3" x14ac:dyDescent="0.25">
      <c r="C448" s="5">
        <v>0.31041666666666667</v>
      </c>
    </row>
    <row r="449" spans="3:3" x14ac:dyDescent="0.25">
      <c r="C449" s="5">
        <v>0.31111111111111112</v>
      </c>
    </row>
    <row r="450" spans="3:3" x14ac:dyDescent="0.25">
      <c r="C450" s="5">
        <v>0.31180555555555556</v>
      </c>
    </row>
    <row r="451" spans="3:3" x14ac:dyDescent="0.25">
      <c r="C451" s="5">
        <v>0.3125</v>
      </c>
    </row>
    <row r="452" spans="3:3" x14ac:dyDescent="0.25">
      <c r="C452" s="5">
        <v>0.31319444444444444</v>
      </c>
    </row>
    <row r="453" spans="3:3" x14ac:dyDescent="0.25">
      <c r="C453" s="5">
        <v>0.31388888888888888</v>
      </c>
    </row>
    <row r="454" spans="3:3" x14ac:dyDescent="0.25">
      <c r="C454" s="5">
        <v>0.31458333333333333</v>
      </c>
    </row>
    <row r="455" spans="3:3" x14ac:dyDescent="0.25">
      <c r="C455" s="5">
        <v>0.31527777777777777</v>
      </c>
    </row>
    <row r="456" spans="3:3" x14ac:dyDescent="0.25">
      <c r="C456" s="5">
        <v>0.31597222222222221</v>
      </c>
    </row>
    <row r="457" spans="3:3" x14ac:dyDescent="0.25">
      <c r="C457" s="5">
        <v>0.31666666666666665</v>
      </c>
    </row>
    <row r="458" spans="3:3" x14ac:dyDescent="0.25">
      <c r="C458" s="5">
        <v>0.31736111111111109</v>
      </c>
    </row>
    <row r="459" spans="3:3" x14ac:dyDescent="0.25">
      <c r="C459" s="5">
        <v>0.31805555555555554</v>
      </c>
    </row>
    <row r="460" spans="3:3" x14ac:dyDescent="0.25">
      <c r="C460" s="5">
        <v>0.31874999999999998</v>
      </c>
    </row>
    <row r="461" spans="3:3" x14ac:dyDescent="0.25">
      <c r="C461" s="5">
        <v>0.31944444444444442</v>
      </c>
    </row>
    <row r="462" spans="3:3" x14ac:dyDescent="0.25">
      <c r="C462" s="5">
        <v>0.32013888888888886</v>
      </c>
    </row>
    <row r="463" spans="3:3" x14ac:dyDescent="0.25">
      <c r="C463" s="5">
        <v>0.32083333333333336</v>
      </c>
    </row>
    <row r="464" spans="3:3" x14ac:dyDescent="0.25">
      <c r="C464" s="5">
        <v>0.3215277777777778</v>
      </c>
    </row>
    <row r="465" spans="3:3" x14ac:dyDescent="0.25">
      <c r="C465" s="5">
        <v>0.32222222222222224</v>
      </c>
    </row>
    <row r="466" spans="3:3" x14ac:dyDescent="0.25">
      <c r="C466" s="5">
        <v>0.32291666666666669</v>
      </c>
    </row>
    <row r="467" spans="3:3" x14ac:dyDescent="0.25">
      <c r="C467" s="5">
        <v>0.32361111111111113</v>
      </c>
    </row>
    <row r="468" spans="3:3" x14ac:dyDescent="0.25">
      <c r="C468" s="5">
        <v>0.32430555555555557</v>
      </c>
    </row>
    <row r="469" spans="3:3" x14ac:dyDescent="0.25">
      <c r="C469" s="5">
        <v>0.32500000000000001</v>
      </c>
    </row>
    <row r="470" spans="3:3" x14ac:dyDescent="0.25">
      <c r="C470" s="5">
        <v>0.32569444444444445</v>
      </c>
    </row>
    <row r="471" spans="3:3" x14ac:dyDescent="0.25">
      <c r="C471" s="5">
        <v>0.3263888888888889</v>
      </c>
    </row>
    <row r="472" spans="3:3" x14ac:dyDescent="0.25">
      <c r="C472" s="5">
        <v>0.32708333333333334</v>
      </c>
    </row>
    <row r="473" spans="3:3" x14ac:dyDescent="0.25">
      <c r="C473" s="5">
        <v>0.32777777777777778</v>
      </c>
    </row>
    <row r="474" spans="3:3" x14ac:dyDescent="0.25">
      <c r="C474" s="5">
        <v>0.32847222222222222</v>
      </c>
    </row>
    <row r="475" spans="3:3" x14ac:dyDescent="0.25">
      <c r="C475" s="5">
        <v>0.32916666666666666</v>
      </c>
    </row>
    <row r="476" spans="3:3" x14ac:dyDescent="0.25">
      <c r="C476" s="5">
        <v>0.3298611111111111</v>
      </c>
    </row>
    <row r="477" spans="3:3" x14ac:dyDescent="0.25">
      <c r="C477" s="5">
        <v>0.33055555555555555</v>
      </c>
    </row>
    <row r="478" spans="3:3" x14ac:dyDescent="0.25">
      <c r="C478" s="5">
        <v>0.33124999999999999</v>
      </c>
    </row>
    <row r="479" spans="3:3" x14ac:dyDescent="0.25">
      <c r="C479" s="5">
        <v>0.33194444444444443</v>
      </c>
    </row>
    <row r="480" spans="3:3" x14ac:dyDescent="0.25">
      <c r="C480" s="5">
        <v>0.33263888888888887</v>
      </c>
    </row>
    <row r="481" spans="3:3" x14ac:dyDescent="0.25">
      <c r="C481" s="5">
        <v>0.33333333333333331</v>
      </c>
    </row>
    <row r="482" spans="3:3" x14ac:dyDescent="0.25">
      <c r="C482" s="5">
        <v>0.33402777777777776</v>
      </c>
    </row>
    <row r="483" spans="3:3" x14ac:dyDescent="0.25">
      <c r="C483" s="5">
        <v>0.3347222222222222</v>
      </c>
    </row>
    <row r="484" spans="3:3" x14ac:dyDescent="0.25">
      <c r="C484" s="5">
        <v>0.33541666666666664</v>
      </c>
    </row>
    <row r="485" spans="3:3" x14ac:dyDescent="0.25">
      <c r="C485" s="5">
        <v>0.33611111111111114</v>
      </c>
    </row>
    <row r="486" spans="3:3" x14ac:dyDescent="0.25">
      <c r="C486" s="5">
        <v>0.33680555555555558</v>
      </c>
    </row>
    <row r="487" spans="3:3" x14ac:dyDescent="0.25">
      <c r="C487" s="5">
        <v>0.33750000000000002</v>
      </c>
    </row>
    <row r="488" spans="3:3" x14ac:dyDescent="0.25">
      <c r="C488" s="5">
        <v>0.33819444444444446</v>
      </c>
    </row>
    <row r="489" spans="3:3" x14ac:dyDescent="0.25">
      <c r="C489" s="5">
        <v>0.33888888888888891</v>
      </c>
    </row>
    <row r="490" spans="3:3" x14ac:dyDescent="0.25">
      <c r="C490" s="5">
        <v>0.33958333333333335</v>
      </c>
    </row>
    <row r="491" spans="3:3" x14ac:dyDescent="0.25">
      <c r="C491" s="5">
        <v>0.34027777777777779</v>
      </c>
    </row>
    <row r="492" spans="3:3" x14ac:dyDescent="0.25">
      <c r="C492" s="5">
        <v>0.34097222222222223</v>
      </c>
    </row>
    <row r="493" spans="3:3" x14ac:dyDescent="0.25">
      <c r="C493" s="5">
        <v>0.34166666666666667</v>
      </c>
    </row>
    <row r="494" spans="3:3" x14ac:dyDescent="0.25">
      <c r="C494" s="5">
        <v>0.34236111111111112</v>
      </c>
    </row>
    <row r="495" spans="3:3" x14ac:dyDescent="0.25">
      <c r="C495" s="5">
        <v>0.34305555555555556</v>
      </c>
    </row>
    <row r="496" spans="3:3" x14ac:dyDescent="0.25">
      <c r="C496" s="5">
        <v>0.34375</v>
      </c>
    </row>
    <row r="497" spans="3:3" x14ac:dyDescent="0.25">
      <c r="C497" s="5">
        <v>0.34444444444444444</v>
      </c>
    </row>
    <row r="498" spans="3:3" x14ac:dyDescent="0.25">
      <c r="C498" s="5">
        <v>0.34513888888888888</v>
      </c>
    </row>
    <row r="499" spans="3:3" x14ac:dyDescent="0.25">
      <c r="C499" s="5">
        <v>0.34583333333333333</v>
      </c>
    </row>
    <row r="500" spans="3:3" x14ac:dyDescent="0.25">
      <c r="C500" s="5">
        <v>0.34652777777777777</v>
      </c>
    </row>
    <row r="501" spans="3:3" x14ac:dyDescent="0.25">
      <c r="C501" s="5">
        <v>0.34722222222222221</v>
      </c>
    </row>
    <row r="502" spans="3:3" x14ac:dyDescent="0.25">
      <c r="C502" s="5">
        <v>0.34791666666666665</v>
      </c>
    </row>
    <row r="503" spans="3:3" x14ac:dyDescent="0.25">
      <c r="C503" s="5">
        <v>0.34861111111111109</v>
      </c>
    </row>
    <row r="504" spans="3:3" x14ac:dyDescent="0.25">
      <c r="C504" s="5">
        <v>0.34930555555555554</v>
      </c>
    </row>
    <row r="505" spans="3:3" x14ac:dyDescent="0.25">
      <c r="C505" s="5">
        <v>0.35</v>
      </c>
    </row>
    <row r="506" spans="3:3" x14ac:dyDescent="0.25">
      <c r="C506" s="5">
        <v>0.35069444444444442</v>
      </c>
    </row>
    <row r="507" spans="3:3" x14ac:dyDescent="0.25">
      <c r="C507" s="5">
        <v>0.35138888888888886</v>
      </c>
    </row>
    <row r="508" spans="3:3" x14ac:dyDescent="0.25">
      <c r="C508" s="5">
        <v>0.35208333333333336</v>
      </c>
    </row>
    <row r="509" spans="3:3" x14ac:dyDescent="0.25">
      <c r="C509" s="5">
        <v>0.3527777777777778</v>
      </c>
    </row>
    <row r="510" spans="3:3" x14ac:dyDescent="0.25">
      <c r="C510" s="5">
        <v>0.35347222222222224</v>
      </c>
    </row>
    <row r="511" spans="3:3" x14ac:dyDescent="0.25">
      <c r="C511" s="5">
        <v>0.35416666666666669</v>
      </c>
    </row>
    <row r="512" spans="3:3" x14ac:dyDescent="0.25">
      <c r="C512" s="5">
        <v>0.35486111111111113</v>
      </c>
    </row>
    <row r="513" spans="3:3" x14ac:dyDescent="0.25">
      <c r="C513" s="5">
        <v>0.35555555555555557</v>
      </c>
    </row>
    <row r="514" spans="3:3" x14ac:dyDescent="0.25">
      <c r="C514" s="5">
        <v>0.35625000000000001</v>
      </c>
    </row>
    <row r="515" spans="3:3" x14ac:dyDescent="0.25">
      <c r="C515" s="5">
        <v>0.35694444444444445</v>
      </c>
    </row>
    <row r="516" spans="3:3" x14ac:dyDescent="0.25">
      <c r="C516" s="5">
        <v>0.3576388888888889</v>
      </c>
    </row>
    <row r="517" spans="3:3" x14ac:dyDescent="0.25">
      <c r="C517" s="5">
        <v>0.35833333333333334</v>
      </c>
    </row>
    <row r="518" spans="3:3" x14ac:dyDescent="0.25">
      <c r="C518" s="5">
        <v>0.35902777777777778</v>
      </c>
    </row>
    <row r="519" spans="3:3" x14ac:dyDescent="0.25">
      <c r="C519" s="5">
        <v>0.35972222222222222</v>
      </c>
    </row>
    <row r="520" spans="3:3" x14ac:dyDescent="0.25">
      <c r="C520" s="5">
        <v>0.36041666666666666</v>
      </c>
    </row>
    <row r="521" spans="3:3" x14ac:dyDescent="0.25">
      <c r="C521" s="5">
        <v>0.3611111111111111</v>
      </c>
    </row>
    <row r="522" spans="3:3" x14ac:dyDescent="0.25">
      <c r="C522" s="5">
        <v>0.36180555555555555</v>
      </c>
    </row>
    <row r="523" spans="3:3" x14ac:dyDescent="0.25">
      <c r="C523" s="5">
        <v>0.36249999999999999</v>
      </c>
    </row>
    <row r="524" spans="3:3" x14ac:dyDescent="0.25">
      <c r="C524" s="5">
        <v>0.36319444444444443</v>
      </c>
    </row>
    <row r="525" spans="3:3" x14ac:dyDescent="0.25">
      <c r="C525" s="5">
        <v>0.36388888888888887</v>
      </c>
    </row>
    <row r="526" spans="3:3" x14ac:dyDescent="0.25">
      <c r="C526" s="5">
        <v>0.36458333333333331</v>
      </c>
    </row>
    <row r="527" spans="3:3" x14ac:dyDescent="0.25">
      <c r="C527" s="5">
        <v>0.36527777777777776</v>
      </c>
    </row>
    <row r="528" spans="3:3" x14ac:dyDescent="0.25">
      <c r="C528" s="5">
        <v>0.3659722222222222</v>
      </c>
    </row>
    <row r="529" spans="3:3" x14ac:dyDescent="0.25">
      <c r="C529" s="5">
        <v>0.36666666666666664</v>
      </c>
    </row>
    <row r="530" spans="3:3" x14ac:dyDescent="0.25">
      <c r="C530" s="5">
        <v>0.36736111111111114</v>
      </c>
    </row>
    <row r="531" spans="3:3" x14ac:dyDescent="0.25">
      <c r="C531" s="5">
        <v>0.36805555555555558</v>
      </c>
    </row>
    <row r="532" spans="3:3" x14ac:dyDescent="0.25">
      <c r="C532" s="5">
        <v>0.36875000000000002</v>
      </c>
    </row>
    <row r="533" spans="3:3" x14ac:dyDescent="0.25">
      <c r="C533" s="5">
        <v>0.36944444444444446</v>
      </c>
    </row>
    <row r="534" spans="3:3" x14ac:dyDescent="0.25">
      <c r="C534" s="5">
        <v>0.37013888888888891</v>
      </c>
    </row>
    <row r="535" spans="3:3" x14ac:dyDescent="0.25">
      <c r="C535" s="5">
        <v>0.37083333333333335</v>
      </c>
    </row>
    <row r="536" spans="3:3" x14ac:dyDescent="0.25">
      <c r="C536" s="5">
        <v>0.37152777777777779</v>
      </c>
    </row>
    <row r="537" spans="3:3" x14ac:dyDescent="0.25">
      <c r="C537" s="5">
        <v>0.37222222222222223</v>
      </c>
    </row>
    <row r="538" spans="3:3" x14ac:dyDescent="0.25">
      <c r="C538" s="5">
        <v>0.37291666666666667</v>
      </c>
    </row>
    <row r="539" spans="3:3" x14ac:dyDescent="0.25">
      <c r="C539" s="5">
        <v>0.37361111111111112</v>
      </c>
    </row>
    <row r="540" spans="3:3" x14ac:dyDescent="0.25">
      <c r="C540" s="5">
        <v>0.37430555555555556</v>
      </c>
    </row>
    <row r="541" spans="3:3" x14ac:dyDescent="0.25">
      <c r="C541" s="5">
        <v>0.375</v>
      </c>
    </row>
    <row r="542" spans="3:3" x14ac:dyDescent="0.25">
      <c r="C542" s="5">
        <v>0.37569444444444444</v>
      </c>
    </row>
    <row r="543" spans="3:3" x14ac:dyDescent="0.25">
      <c r="C543" s="5">
        <v>0.37638888888888888</v>
      </c>
    </row>
    <row r="544" spans="3:3" x14ac:dyDescent="0.25">
      <c r="C544" s="5">
        <v>0.37708333333333333</v>
      </c>
    </row>
    <row r="545" spans="3:3" x14ac:dyDescent="0.25">
      <c r="C545" s="5">
        <v>0.37777777777777777</v>
      </c>
    </row>
    <row r="546" spans="3:3" x14ac:dyDescent="0.25">
      <c r="C546" s="5">
        <v>0.37847222222222221</v>
      </c>
    </row>
    <row r="547" spans="3:3" x14ac:dyDescent="0.25">
      <c r="C547" s="5">
        <v>0.37916666666666665</v>
      </c>
    </row>
    <row r="548" spans="3:3" x14ac:dyDescent="0.25">
      <c r="C548" s="5">
        <v>0.37986111111111109</v>
      </c>
    </row>
    <row r="549" spans="3:3" x14ac:dyDescent="0.25">
      <c r="C549" s="5">
        <v>0.38055555555555554</v>
      </c>
    </row>
    <row r="550" spans="3:3" x14ac:dyDescent="0.25">
      <c r="C550" s="5">
        <v>0.38124999999999998</v>
      </c>
    </row>
    <row r="551" spans="3:3" x14ac:dyDescent="0.25">
      <c r="C551" s="5">
        <v>0.38194444444444442</v>
      </c>
    </row>
    <row r="552" spans="3:3" x14ac:dyDescent="0.25">
      <c r="C552" s="5">
        <v>0.38263888888888886</v>
      </c>
    </row>
    <row r="553" spans="3:3" x14ac:dyDescent="0.25">
      <c r="C553" s="5">
        <v>0.38333333333333336</v>
      </c>
    </row>
    <row r="554" spans="3:3" x14ac:dyDescent="0.25">
      <c r="C554" s="5">
        <v>0.3840277777777778</v>
      </c>
    </row>
    <row r="555" spans="3:3" x14ac:dyDescent="0.25">
      <c r="C555" s="5">
        <v>0.38472222222222224</v>
      </c>
    </row>
    <row r="556" spans="3:3" x14ac:dyDescent="0.25">
      <c r="C556" s="5">
        <v>0.38541666666666669</v>
      </c>
    </row>
    <row r="557" spans="3:3" x14ac:dyDescent="0.25">
      <c r="C557" s="5">
        <v>0.38611111111111113</v>
      </c>
    </row>
    <row r="558" spans="3:3" x14ac:dyDescent="0.25">
      <c r="C558" s="5">
        <v>0.38680555555555557</v>
      </c>
    </row>
    <row r="559" spans="3:3" x14ac:dyDescent="0.25">
      <c r="C559" s="5">
        <v>0.38750000000000001</v>
      </c>
    </row>
    <row r="560" spans="3:3" x14ac:dyDescent="0.25">
      <c r="C560" s="5">
        <v>0.38819444444444445</v>
      </c>
    </row>
    <row r="561" spans="3:3" x14ac:dyDescent="0.25">
      <c r="C561" s="5">
        <v>0.3888888888888889</v>
      </c>
    </row>
    <row r="562" spans="3:3" x14ac:dyDescent="0.25">
      <c r="C562" s="5">
        <v>0.38958333333333334</v>
      </c>
    </row>
    <row r="563" spans="3:3" x14ac:dyDescent="0.25">
      <c r="C563" s="5">
        <v>0.39027777777777778</v>
      </c>
    </row>
    <row r="564" spans="3:3" x14ac:dyDescent="0.25">
      <c r="C564" s="5">
        <v>0.39097222222222222</v>
      </c>
    </row>
    <row r="565" spans="3:3" x14ac:dyDescent="0.25">
      <c r="C565" s="5">
        <v>0.39166666666666666</v>
      </c>
    </row>
    <row r="566" spans="3:3" x14ac:dyDescent="0.25">
      <c r="C566" s="5">
        <v>0.3923611111111111</v>
      </c>
    </row>
    <row r="567" spans="3:3" x14ac:dyDescent="0.25">
      <c r="C567" s="5">
        <v>0.39305555555555555</v>
      </c>
    </row>
    <row r="568" spans="3:3" x14ac:dyDescent="0.25">
      <c r="C568" s="5">
        <v>0.39374999999999999</v>
      </c>
    </row>
    <row r="569" spans="3:3" x14ac:dyDescent="0.25">
      <c r="C569" s="5">
        <v>0.39444444444444443</v>
      </c>
    </row>
    <row r="570" spans="3:3" x14ac:dyDescent="0.25">
      <c r="C570" s="5">
        <v>0.39513888888888887</v>
      </c>
    </row>
    <row r="571" spans="3:3" x14ac:dyDescent="0.25">
      <c r="C571" s="5">
        <v>0.39583333333333331</v>
      </c>
    </row>
    <row r="572" spans="3:3" x14ac:dyDescent="0.25">
      <c r="C572" s="5">
        <v>0.39652777777777776</v>
      </c>
    </row>
    <row r="573" spans="3:3" x14ac:dyDescent="0.25">
      <c r="C573" s="5">
        <v>0.3972222222222222</v>
      </c>
    </row>
    <row r="574" spans="3:3" x14ac:dyDescent="0.25">
      <c r="C574" s="5">
        <v>0.39791666666666664</v>
      </c>
    </row>
    <row r="575" spans="3:3" x14ac:dyDescent="0.25">
      <c r="C575" s="5">
        <v>0.39861111111111114</v>
      </c>
    </row>
    <row r="576" spans="3:3" x14ac:dyDescent="0.25">
      <c r="C576" s="5">
        <v>0.39930555555555558</v>
      </c>
    </row>
    <row r="577" spans="3:3" x14ac:dyDescent="0.25">
      <c r="C577" s="5">
        <v>0.4</v>
      </c>
    </row>
    <row r="578" spans="3:3" x14ac:dyDescent="0.25">
      <c r="C578" s="5">
        <v>0.40069444444444446</v>
      </c>
    </row>
    <row r="579" spans="3:3" x14ac:dyDescent="0.25">
      <c r="C579" s="5">
        <v>0.40138888888888891</v>
      </c>
    </row>
    <row r="580" spans="3:3" x14ac:dyDescent="0.25">
      <c r="C580" s="5">
        <v>0.40208333333333335</v>
      </c>
    </row>
    <row r="581" spans="3:3" x14ac:dyDescent="0.25">
      <c r="C581" s="5">
        <v>0.40277777777777779</v>
      </c>
    </row>
    <row r="582" spans="3:3" x14ac:dyDescent="0.25">
      <c r="C582" s="5">
        <v>0.40347222222222223</v>
      </c>
    </row>
    <row r="583" spans="3:3" x14ac:dyDescent="0.25">
      <c r="C583" s="5">
        <v>0.40416666666666667</v>
      </c>
    </row>
    <row r="584" spans="3:3" x14ac:dyDescent="0.25">
      <c r="C584" s="5">
        <v>0.40486111111111112</v>
      </c>
    </row>
    <row r="585" spans="3:3" x14ac:dyDescent="0.25">
      <c r="C585" s="5">
        <v>0.40555555555555556</v>
      </c>
    </row>
    <row r="586" spans="3:3" x14ac:dyDescent="0.25">
      <c r="C586" s="5">
        <v>0.40625</v>
      </c>
    </row>
    <row r="587" spans="3:3" x14ac:dyDescent="0.25">
      <c r="C587" s="5">
        <v>0.40694444444444444</v>
      </c>
    </row>
    <row r="588" spans="3:3" x14ac:dyDescent="0.25">
      <c r="C588" s="5">
        <v>0.40763888888888888</v>
      </c>
    </row>
    <row r="589" spans="3:3" x14ac:dyDescent="0.25">
      <c r="C589" s="5">
        <v>0.40833333333333333</v>
      </c>
    </row>
    <row r="590" spans="3:3" x14ac:dyDescent="0.25">
      <c r="C590" s="5">
        <v>0.40902777777777777</v>
      </c>
    </row>
    <row r="591" spans="3:3" x14ac:dyDescent="0.25">
      <c r="C591" s="5">
        <v>0.40972222222222221</v>
      </c>
    </row>
    <row r="592" spans="3:3" x14ac:dyDescent="0.25">
      <c r="C592" s="5">
        <v>0.41041666666666665</v>
      </c>
    </row>
    <row r="593" spans="3:3" x14ac:dyDescent="0.25">
      <c r="C593" s="5">
        <v>0.41111111111111109</v>
      </c>
    </row>
    <row r="594" spans="3:3" x14ac:dyDescent="0.25">
      <c r="C594" s="5">
        <v>0.41180555555555554</v>
      </c>
    </row>
    <row r="595" spans="3:3" x14ac:dyDescent="0.25">
      <c r="C595" s="5">
        <v>0.41249999999999998</v>
      </c>
    </row>
    <row r="596" spans="3:3" x14ac:dyDescent="0.25">
      <c r="C596" s="5">
        <v>0.41319444444444442</v>
      </c>
    </row>
    <row r="597" spans="3:3" x14ac:dyDescent="0.25">
      <c r="C597" s="5">
        <v>0.41388888888888886</v>
      </c>
    </row>
    <row r="598" spans="3:3" x14ac:dyDescent="0.25">
      <c r="C598" s="5">
        <v>0.41458333333333336</v>
      </c>
    </row>
    <row r="599" spans="3:3" x14ac:dyDescent="0.25">
      <c r="C599" s="5">
        <v>0.4152777777777778</v>
      </c>
    </row>
    <row r="600" spans="3:3" x14ac:dyDescent="0.25">
      <c r="C600" s="5">
        <v>0.41597222222222224</v>
      </c>
    </row>
    <row r="601" spans="3:3" x14ac:dyDescent="0.25">
      <c r="C601" s="5">
        <v>0.41666666666666669</v>
      </c>
    </row>
    <row r="602" spans="3:3" x14ac:dyDescent="0.25">
      <c r="C602" s="5">
        <v>0.41736111111111113</v>
      </c>
    </row>
    <row r="603" spans="3:3" x14ac:dyDescent="0.25">
      <c r="C603" s="5">
        <v>0.41805555555555557</v>
      </c>
    </row>
    <row r="604" spans="3:3" x14ac:dyDescent="0.25">
      <c r="C604" s="5">
        <v>0.41875000000000001</v>
      </c>
    </row>
    <row r="605" spans="3:3" x14ac:dyDescent="0.25">
      <c r="C605" s="5">
        <v>0.41944444444444445</v>
      </c>
    </row>
    <row r="606" spans="3:3" x14ac:dyDescent="0.25">
      <c r="C606" s="5">
        <v>0.4201388888888889</v>
      </c>
    </row>
    <row r="607" spans="3:3" x14ac:dyDescent="0.25">
      <c r="C607" s="5">
        <v>0.42083333333333334</v>
      </c>
    </row>
    <row r="608" spans="3:3" x14ac:dyDescent="0.25">
      <c r="C608" s="5">
        <v>0.42152777777777778</v>
      </c>
    </row>
    <row r="609" spans="3:3" x14ac:dyDescent="0.25">
      <c r="C609" s="5">
        <v>0.42222222222222222</v>
      </c>
    </row>
    <row r="610" spans="3:3" x14ac:dyDescent="0.25">
      <c r="C610" s="5">
        <v>0.42291666666666666</v>
      </c>
    </row>
    <row r="611" spans="3:3" x14ac:dyDescent="0.25">
      <c r="C611" s="5">
        <v>0.4236111111111111</v>
      </c>
    </row>
    <row r="612" spans="3:3" x14ac:dyDescent="0.25">
      <c r="C612" s="5">
        <v>0.42430555555555555</v>
      </c>
    </row>
    <row r="613" spans="3:3" x14ac:dyDescent="0.25">
      <c r="C613" s="5">
        <v>0.42499999999999999</v>
      </c>
    </row>
    <row r="614" spans="3:3" x14ac:dyDescent="0.25">
      <c r="C614" s="5">
        <v>0.42569444444444443</v>
      </c>
    </row>
    <row r="615" spans="3:3" x14ac:dyDescent="0.25">
      <c r="C615" s="5">
        <v>0.42638888888888887</v>
      </c>
    </row>
    <row r="616" spans="3:3" x14ac:dyDescent="0.25">
      <c r="C616" s="5">
        <v>0.42708333333333331</v>
      </c>
    </row>
    <row r="617" spans="3:3" x14ac:dyDescent="0.25">
      <c r="C617" s="5">
        <v>0.42777777777777776</v>
      </c>
    </row>
    <row r="618" spans="3:3" x14ac:dyDescent="0.25">
      <c r="C618" s="5">
        <v>0.4284722222222222</v>
      </c>
    </row>
    <row r="619" spans="3:3" x14ac:dyDescent="0.25">
      <c r="C619" s="5">
        <v>0.42916666666666664</v>
      </c>
    </row>
    <row r="620" spans="3:3" x14ac:dyDescent="0.25">
      <c r="C620" s="5">
        <v>0.42986111111111114</v>
      </c>
    </row>
    <row r="621" spans="3:3" x14ac:dyDescent="0.25">
      <c r="C621" s="5">
        <v>0.43055555555555558</v>
      </c>
    </row>
    <row r="622" spans="3:3" x14ac:dyDescent="0.25">
      <c r="C622" s="5">
        <v>0.43125000000000002</v>
      </c>
    </row>
    <row r="623" spans="3:3" x14ac:dyDescent="0.25">
      <c r="C623" s="5">
        <v>0.43194444444444446</v>
      </c>
    </row>
    <row r="624" spans="3:3" x14ac:dyDescent="0.25">
      <c r="C624" s="5">
        <v>0.43263888888888891</v>
      </c>
    </row>
    <row r="625" spans="3:3" x14ac:dyDescent="0.25">
      <c r="C625" s="5">
        <v>0.43333333333333335</v>
      </c>
    </row>
    <row r="626" spans="3:3" x14ac:dyDescent="0.25">
      <c r="C626" s="5">
        <v>0.43402777777777779</v>
      </c>
    </row>
    <row r="627" spans="3:3" x14ac:dyDescent="0.25">
      <c r="C627" s="5">
        <v>0.43472222222222223</v>
      </c>
    </row>
    <row r="628" spans="3:3" x14ac:dyDescent="0.25">
      <c r="C628" s="5">
        <v>0.43541666666666667</v>
      </c>
    </row>
    <row r="629" spans="3:3" x14ac:dyDescent="0.25">
      <c r="C629" s="5">
        <v>0.43611111111111112</v>
      </c>
    </row>
    <row r="630" spans="3:3" x14ac:dyDescent="0.25">
      <c r="C630" s="5">
        <v>0.43680555555555556</v>
      </c>
    </row>
    <row r="631" spans="3:3" x14ac:dyDescent="0.25">
      <c r="C631" s="5">
        <v>0.4375</v>
      </c>
    </row>
    <row r="632" spans="3:3" x14ac:dyDescent="0.25">
      <c r="C632" s="5">
        <v>0.43819444444444444</v>
      </c>
    </row>
    <row r="633" spans="3:3" x14ac:dyDescent="0.25">
      <c r="C633" s="5">
        <v>0.43888888888888888</v>
      </c>
    </row>
    <row r="634" spans="3:3" x14ac:dyDescent="0.25">
      <c r="C634" s="5">
        <v>0.43958333333333333</v>
      </c>
    </row>
    <row r="635" spans="3:3" x14ac:dyDescent="0.25">
      <c r="C635" s="5">
        <v>0.44027777777777777</v>
      </c>
    </row>
    <row r="636" spans="3:3" x14ac:dyDescent="0.25">
      <c r="C636" s="5">
        <v>0.44097222222222221</v>
      </c>
    </row>
    <row r="637" spans="3:3" x14ac:dyDescent="0.25">
      <c r="C637" s="5">
        <v>0.44166666666666665</v>
      </c>
    </row>
    <row r="638" spans="3:3" x14ac:dyDescent="0.25">
      <c r="C638" s="5">
        <v>0.44236111111111109</v>
      </c>
    </row>
    <row r="639" spans="3:3" x14ac:dyDescent="0.25">
      <c r="C639" s="5">
        <v>0.44305555555555554</v>
      </c>
    </row>
    <row r="640" spans="3:3" x14ac:dyDescent="0.25">
      <c r="C640" s="5">
        <v>0.44374999999999998</v>
      </c>
    </row>
    <row r="641" spans="3:3" x14ac:dyDescent="0.25">
      <c r="C641" s="5">
        <v>0.44444444444444442</v>
      </c>
    </row>
    <row r="642" spans="3:3" x14ac:dyDescent="0.25">
      <c r="C642" s="5">
        <v>0.44513888888888886</v>
      </c>
    </row>
    <row r="643" spans="3:3" x14ac:dyDescent="0.25">
      <c r="C643" s="5">
        <v>0.44583333333333336</v>
      </c>
    </row>
    <row r="644" spans="3:3" x14ac:dyDescent="0.25">
      <c r="C644" s="5">
        <v>0.4465277777777778</v>
      </c>
    </row>
    <row r="645" spans="3:3" x14ac:dyDescent="0.25">
      <c r="C645" s="5">
        <v>0.44722222222222224</v>
      </c>
    </row>
    <row r="646" spans="3:3" x14ac:dyDescent="0.25">
      <c r="C646" s="5">
        <v>0.44791666666666669</v>
      </c>
    </row>
    <row r="647" spans="3:3" x14ac:dyDescent="0.25">
      <c r="C647" s="5">
        <v>0.44861111111111113</v>
      </c>
    </row>
    <row r="648" spans="3:3" x14ac:dyDescent="0.25">
      <c r="C648" s="5">
        <v>0.44930555555555557</v>
      </c>
    </row>
    <row r="649" spans="3:3" x14ac:dyDescent="0.25">
      <c r="C649" s="5">
        <v>0.45</v>
      </c>
    </row>
    <row r="650" spans="3:3" x14ac:dyDescent="0.25">
      <c r="C650" s="5">
        <v>0.45069444444444445</v>
      </c>
    </row>
    <row r="651" spans="3:3" x14ac:dyDescent="0.25">
      <c r="C651" s="5">
        <v>0.4513888888888889</v>
      </c>
    </row>
    <row r="652" spans="3:3" x14ac:dyDescent="0.25">
      <c r="C652" s="5">
        <v>0.45208333333333334</v>
      </c>
    </row>
    <row r="653" spans="3:3" x14ac:dyDescent="0.25">
      <c r="C653" s="5">
        <v>0.45277777777777778</v>
      </c>
    </row>
    <row r="654" spans="3:3" x14ac:dyDescent="0.25">
      <c r="C654" s="5">
        <v>0.45347222222222222</v>
      </c>
    </row>
    <row r="655" spans="3:3" x14ac:dyDescent="0.25">
      <c r="C655" s="5">
        <v>0.45416666666666666</v>
      </c>
    </row>
    <row r="656" spans="3:3" x14ac:dyDescent="0.25">
      <c r="C656" s="5">
        <v>0.4548611111111111</v>
      </c>
    </row>
    <row r="657" spans="3:3" x14ac:dyDescent="0.25">
      <c r="C657" s="5">
        <v>0.45555555555555555</v>
      </c>
    </row>
    <row r="658" spans="3:3" x14ac:dyDescent="0.25">
      <c r="C658" s="5">
        <v>0.45624999999999999</v>
      </c>
    </row>
    <row r="659" spans="3:3" x14ac:dyDescent="0.25">
      <c r="C659" s="5">
        <v>0.45694444444444443</v>
      </c>
    </row>
    <row r="660" spans="3:3" x14ac:dyDescent="0.25">
      <c r="C660" s="5">
        <v>0.45763888888888887</v>
      </c>
    </row>
    <row r="661" spans="3:3" x14ac:dyDescent="0.25">
      <c r="C661" s="5">
        <v>0.45833333333333331</v>
      </c>
    </row>
    <row r="662" spans="3:3" x14ac:dyDescent="0.25">
      <c r="C662" s="5">
        <v>0.45902777777777776</v>
      </c>
    </row>
    <row r="663" spans="3:3" x14ac:dyDescent="0.25">
      <c r="C663" s="5">
        <v>0.4597222222222222</v>
      </c>
    </row>
    <row r="664" spans="3:3" x14ac:dyDescent="0.25">
      <c r="C664" s="5">
        <v>0.46041666666666664</v>
      </c>
    </row>
    <row r="665" spans="3:3" x14ac:dyDescent="0.25">
      <c r="C665" s="5">
        <v>0.46111111111111114</v>
      </c>
    </row>
    <row r="666" spans="3:3" x14ac:dyDescent="0.25">
      <c r="C666" s="5">
        <v>0.46180555555555558</v>
      </c>
    </row>
    <row r="667" spans="3:3" x14ac:dyDescent="0.25">
      <c r="C667" s="5">
        <v>0.46250000000000002</v>
      </c>
    </row>
    <row r="668" spans="3:3" x14ac:dyDescent="0.25">
      <c r="C668" s="5">
        <v>0.46319444444444446</v>
      </c>
    </row>
    <row r="669" spans="3:3" x14ac:dyDescent="0.25">
      <c r="C669" s="5">
        <v>0.46388888888888891</v>
      </c>
    </row>
    <row r="670" spans="3:3" x14ac:dyDescent="0.25">
      <c r="C670" s="5">
        <v>0.46458333333333335</v>
      </c>
    </row>
    <row r="671" spans="3:3" x14ac:dyDescent="0.25">
      <c r="C671" s="5">
        <v>0.46527777777777779</v>
      </c>
    </row>
    <row r="672" spans="3:3" x14ac:dyDescent="0.25">
      <c r="C672" s="5">
        <v>0.46597222222222223</v>
      </c>
    </row>
    <row r="673" spans="3:3" x14ac:dyDescent="0.25">
      <c r="C673" s="5">
        <v>0.46666666666666667</v>
      </c>
    </row>
    <row r="674" spans="3:3" x14ac:dyDescent="0.25">
      <c r="C674" s="5">
        <v>0.46736111111111112</v>
      </c>
    </row>
    <row r="675" spans="3:3" x14ac:dyDescent="0.25">
      <c r="C675" s="5">
        <v>0.46805555555555556</v>
      </c>
    </row>
    <row r="676" spans="3:3" x14ac:dyDescent="0.25">
      <c r="C676" s="5">
        <v>0.46875</v>
      </c>
    </row>
    <row r="677" spans="3:3" x14ac:dyDescent="0.25">
      <c r="C677" s="5">
        <v>0.46944444444444444</v>
      </c>
    </row>
    <row r="678" spans="3:3" x14ac:dyDescent="0.25">
      <c r="C678" s="5">
        <v>0.47013888888888888</v>
      </c>
    </row>
    <row r="679" spans="3:3" x14ac:dyDescent="0.25">
      <c r="C679" s="5">
        <v>0.47083333333333333</v>
      </c>
    </row>
    <row r="680" spans="3:3" x14ac:dyDescent="0.25">
      <c r="C680" s="5">
        <v>0.47152777777777777</v>
      </c>
    </row>
    <row r="681" spans="3:3" x14ac:dyDescent="0.25">
      <c r="C681" s="5">
        <v>0.47222222222222221</v>
      </c>
    </row>
    <row r="682" spans="3:3" x14ac:dyDescent="0.25">
      <c r="C682" s="5">
        <v>0.47291666666666665</v>
      </c>
    </row>
    <row r="683" spans="3:3" x14ac:dyDescent="0.25">
      <c r="C683" s="5">
        <v>0.47361111111111109</v>
      </c>
    </row>
    <row r="684" spans="3:3" x14ac:dyDescent="0.25">
      <c r="C684" s="5">
        <v>0.47430555555555554</v>
      </c>
    </row>
    <row r="685" spans="3:3" x14ac:dyDescent="0.25">
      <c r="C685" s="5">
        <v>0.47499999999999998</v>
      </c>
    </row>
    <row r="686" spans="3:3" x14ac:dyDescent="0.25">
      <c r="C686" s="5">
        <v>0.47569444444444442</v>
      </c>
    </row>
    <row r="687" spans="3:3" x14ac:dyDescent="0.25">
      <c r="C687" s="5">
        <v>0.47638888888888886</v>
      </c>
    </row>
    <row r="688" spans="3:3" x14ac:dyDescent="0.25">
      <c r="C688" s="5">
        <v>0.47708333333333336</v>
      </c>
    </row>
    <row r="689" spans="3:3" x14ac:dyDescent="0.25">
      <c r="C689" s="5">
        <v>0.4777777777777778</v>
      </c>
    </row>
    <row r="690" spans="3:3" x14ac:dyDescent="0.25">
      <c r="C690" s="5">
        <v>0.47847222222222224</v>
      </c>
    </row>
    <row r="691" spans="3:3" x14ac:dyDescent="0.25">
      <c r="C691" s="5">
        <v>0.47916666666666669</v>
      </c>
    </row>
    <row r="692" spans="3:3" x14ac:dyDescent="0.25">
      <c r="C692" s="5">
        <v>0.47986111111111113</v>
      </c>
    </row>
    <row r="693" spans="3:3" x14ac:dyDescent="0.25">
      <c r="C693" s="5">
        <v>0.48055555555555557</v>
      </c>
    </row>
    <row r="694" spans="3:3" x14ac:dyDescent="0.25">
      <c r="C694" s="5">
        <v>0.48125000000000001</v>
      </c>
    </row>
    <row r="695" spans="3:3" x14ac:dyDescent="0.25">
      <c r="C695" s="5">
        <v>0.48194444444444445</v>
      </c>
    </row>
    <row r="696" spans="3:3" x14ac:dyDescent="0.25">
      <c r="C696" s="5">
        <v>0.4826388888888889</v>
      </c>
    </row>
    <row r="697" spans="3:3" x14ac:dyDescent="0.25">
      <c r="C697" s="5">
        <v>0.48333333333333334</v>
      </c>
    </row>
    <row r="698" spans="3:3" x14ac:dyDescent="0.25">
      <c r="C698" s="5">
        <v>0.48402777777777778</v>
      </c>
    </row>
    <row r="699" spans="3:3" x14ac:dyDescent="0.25">
      <c r="C699" s="5">
        <v>0.48472222222222222</v>
      </c>
    </row>
    <row r="700" spans="3:3" x14ac:dyDescent="0.25">
      <c r="C700" s="5">
        <v>0.48541666666666666</v>
      </c>
    </row>
    <row r="701" spans="3:3" x14ac:dyDescent="0.25">
      <c r="C701" s="5">
        <v>0.4861111111111111</v>
      </c>
    </row>
    <row r="702" spans="3:3" x14ac:dyDescent="0.25">
      <c r="C702" s="5">
        <v>0.48680555555555555</v>
      </c>
    </row>
    <row r="703" spans="3:3" x14ac:dyDescent="0.25">
      <c r="C703" s="5">
        <v>0.48749999999999999</v>
      </c>
    </row>
    <row r="704" spans="3:3" x14ac:dyDescent="0.25">
      <c r="C704" s="5">
        <v>0.48819444444444443</v>
      </c>
    </row>
    <row r="705" spans="3:3" x14ac:dyDescent="0.25">
      <c r="C705" s="5">
        <v>0.48888888888888887</v>
      </c>
    </row>
    <row r="706" spans="3:3" x14ac:dyDescent="0.25">
      <c r="C706" s="5">
        <v>0.48958333333333331</v>
      </c>
    </row>
    <row r="707" spans="3:3" x14ac:dyDescent="0.25">
      <c r="C707" s="5">
        <v>0.49027777777777776</v>
      </c>
    </row>
    <row r="708" spans="3:3" x14ac:dyDescent="0.25">
      <c r="C708" s="5">
        <v>0.4909722222222222</v>
      </c>
    </row>
    <row r="709" spans="3:3" x14ac:dyDescent="0.25">
      <c r="C709" s="5">
        <v>0.49166666666666664</v>
      </c>
    </row>
    <row r="710" spans="3:3" x14ac:dyDescent="0.25">
      <c r="C710" s="5">
        <v>0.49236111111111114</v>
      </c>
    </row>
    <row r="711" spans="3:3" x14ac:dyDescent="0.25">
      <c r="C711" s="5">
        <v>0.49305555555555558</v>
      </c>
    </row>
    <row r="712" spans="3:3" x14ac:dyDescent="0.25">
      <c r="C712" s="5">
        <v>0.49375000000000002</v>
      </c>
    </row>
    <row r="713" spans="3:3" x14ac:dyDescent="0.25">
      <c r="C713" s="5">
        <v>0.49444444444444446</v>
      </c>
    </row>
    <row r="714" spans="3:3" x14ac:dyDescent="0.25">
      <c r="C714" s="5">
        <v>0.49513888888888891</v>
      </c>
    </row>
    <row r="715" spans="3:3" x14ac:dyDescent="0.25">
      <c r="C715" s="5">
        <v>0.49583333333333335</v>
      </c>
    </row>
    <row r="716" spans="3:3" x14ac:dyDescent="0.25">
      <c r="C716" s="5">
        <v>0.49652777777777779</v>
      </c>
    </row>
    <row r="717" spans="3:3" x14ac:dyDescent="0.25">
      <c r="C717" s="5">
        <v>0.49722222222222223</v>
      </c>
    </row>
    <row r="718" spans="3:3" x14ac:dyDescent="0.25">
      <c r="C718" s="5">
        <v>0.49791666666666667</v>
      </c>
    </row>
    <row r="719" spans="3:3" x14ac:dyDescent="0.25">
      <c r="C719" s="5">
        <v>0.49861111111111112</v>
      </c>
    </row>
    <row r="720" spans="3:3" x14ac:dyDescent="0.25">
      <c r="C720" s="5">
        <v>0.49930555555555556</v>
      </c>
    </row>
    <row r="721" spans="3:3" x14ac:dyDescent="0.25">
      <c r="C721" s="5">
        <v>0.5</v>
      </c>
    </row>
    <row r="722" spans="3:3" x14ac:dyDescent="0.25">
      <c r="C722" s="5">
        <v>0.50069444444444444</v>
      </c>
    </row>
    <row r="723" spans="3:3" x14ac:dyDescent="0.25">
      <c r="C723" s="5">
        <v>0.50138888888888888</v>
      </c>
    </row>
    <row r="724" spans="3:3" x14ac:dyDescent="0.25">
      <c r="C724" s="5">
        <v>0.50208333333333333</v>
      </c>
    </row>
    <row r="725" spans="3:3" x14ac:dyDescent="0.25">
      <c r="C725" s="5">
        <v>0.50277777777777777</v>
      </c>
    </row>
    <row r="726" spans="3:3" x14ac:dyDescent="0.25">
      <c r="C726" s="5">
        <v>0.50347222222222221</v>
      </c>
    </row>
    <row r="727" spans="3:3" x14ac:dyDescent="0.25">
      <c r="C727" s="5">
        <v>0.50416666666666665</v>
      </c>
    </row>
    <row r="728" spans="3:3" x14ac:dyDescent="0.25">
      <c r="C728" s="5">
        <v>0.50486111111111109</v>
      </c>
    </row>
    <row r="729" spans="3:3" x14ac:dyDescent="0.25">
      <c r="C729" s="5">
        <v>0.50555555555555554</v>
      </c>
    </row>
    <row r="730" spans="3:3" x14ac:dyDescent="0.25">
      <c r="C730" s="5">
        <v>0.50624999999999998</v>
      </c>
    </row>
    <row r="731" spans="3:3" x14ac:dyDescent="0.25">
      <c r="C731" s="5">
        <v>0.50694444444444442</v>
      </c>
    </row>
    <row r="732" spans="3:3" x14ac:dyDescent="0.25">
      <c r="C732" s="5">
        <v>0.50763888888888886</v>
      </c>
    </row>
    <row r="733" spans="3:3" x14ac:dyDescent="0.25">
      <c r="C733" s="5">
        <v>0.5083333333333333</v>
      </c>
    </row>
    <row r="734" spans="3:3" x14ac:dyDescent="0.25">
      <c r="C734" s="5">
        <v>0.50902777777777775</v>
      </c>
    </row>
    <row r="735" spans="3:3" x14ac:dyDescent="0.25">
      <c r="C735" s="5">
        <v>0.50972222222222219</v>
      </c>
    </row>
    <row r="736" spans="3:3" x14ac:dyDescent="0.25">
      <c r="C736" s="5">
        <v>0.51041666666666663</v>
      </c>
    </row>
    <row r="737" spans="3:3" x14ac:dyDescent="0.25">
      <c r="C737" s="5">
        <v>0.51111111111111107</v>
      </c>
    </row>
    <row r="738" spans="3:3" x14ac:dyDescent="0.25">
      <c r="C738" s="5">
        <v>0.51180555555555551</v>
      </c>
    </row>
    <row r="739" spans="3:3" x14ac:dyDescent="0.25">
      <c r="C739" s="5">
        <v>0.51249999999999996</v>
      </c>
    </row>
    <row r="740" spans="3:3" x14ac:dyDescent="0.25">
      <c r="C740" s="5">
        <v>0.5131944444444444</v>
      </c>
    </row>
    <row r="741" spans="3:3" x14ac:dyDescent="0.25">
      <c r="C741" s="5">
        <v>0.51388888888888884</v>
      </c>
    </row>
    <row r="742" spans="3:3" x14ac:dyDescent="0.25">
      <c r="C742" s="5">
        <v>0.51458333333333328</v>
      </c>
    </row>
    <row r="743" spans="3:3" x14ac:dyDescent="0.25">
      <c r="C743" s="5">
        <v>0.51527777777777772</v>
      </c>
    </row>
    <row r="744" spans="3:3" x14ac:dyDescent="0.25">
      <c r="C744" s="5">
        <v>0.51597222222222228</v>
      </c>
    </row>
    <row r="745" spans="3:3" x14ac:dyDescent="0.25">
      <c r="C745" s="5">
        <v>0.51666666666666672</v>
      </c>
    </row>
    <row r="746" spans="3:3" x14ac:dyDescent="0.25">
      <c r="C746" s="5">
        <v>0.51736111111111116</v>
      </c>
    </row>
    <row r="747" spans="3:3" x14ac:dyDescent="0.25">
      <c r="C747" s="5">
        <v>0.5180555555555556</v>
      </c>
    </row>
    <row r="748" spans="3:3" x14ac:dyDescent="0.25">
      <c r="C748" s="5">
        <v>0.51875000000000004</v>
      </c>
    </row>
    <row r="749" spans="3:3" x14ac:dyDescent="0.25">
      <c r="C749" s="5">
        <v>0.51944444444444449</v>
      </c>
    </row>
    <row r="750" spans="3:3" x14ac:dyDescent="0.25">
      <c r="C750" s="5">
        <v>0.52013888888888893</v>
      </c>
    </row>
    <row r="751" spans="3:3" x14ac:dyDescent="0.25">
      <c r="C751" s="5">
        <v>0.52083333333333337</v>
      </c>
    </row>
    <row r="752" spans="3:3" x14ac:dyDescent="0.25">
      <c r="C752" s="5">
        <v>0.52152777777777781</v>
      </c>
    </row>
    <row r="753" spans="3:3" x14ac:dyDescent="0.25">
      <c r="C753" s="5">
        <v>0.52222222222222225</v>
      </c>
    </row>
    <row r="754" spans="3:3" x14ac:dyDescent="0.25">
      <c r="C754" s="5">
        <v>0.5229166666666667</v>
      </c>
    </row>
    <row r="755" spans="3:3" x14ac:dyDescent="0.25">
      <c r="C755" s="5">
        <v>0.52361111111111114</v>
      </c>
    </row>
    <row r="756" spans="3:3" x14ac:dyDescent="0.25">
      <c r="C756" s="5">
        <v>0.52430555555555558</v>
      </c>
    </row>
    <row r="757" spans="3:3" x14ac:dyDescent="0.25">
      <c r="C757" s="5">
        <v>0.52500000000000002</v>
      </c>
    </row>
    <row r="758" spans="3:3" x14ac:dyDescent="0.25">
      <c r="C758" s="5">
        <v>0.52569444444444446</v>
      </c>
    </row>
    <row r="759" spans="3:3" x14ac:dyDescent="0.25">
      <c r="C759" s="5">
        <v>0.52638888888888891</v>
      </c>
    </row>
    <row r="760" spans="3:3" x14ac:dyDescent="0.25">
      <c r="C760" s="5">
        <v>0.52708333333333335</v>
      </c>
    </row>
    <row r="761" spans="3:3" x14ac:dyDescent="0.25">
      <c r="C761" s="5">
        <v>0.52777777777777779</v>
      </c>
    </row>
    <row r="762" spans="3:3" x14ac:dyDescent="0.25">
      <c r="C762" s="5">
        <v>0.52847222222222223</v>
      </c>
    </row>
    <row r="763" spans="3:3" x14ac:dyDescent="0.25">
      <c r="C763" s="5">
        <v>0.52916666666666667</v>
      </c>
    </row>
    <row r="764" spans="3:3" x14ac:dyDescent="0.25">
      <c r="C764" s="5">
        <v>0.52986111111111112</v>
      </c>
    </row>
    <row r="765" spans="3:3" x14ac:dyDescent="0.25">
      <c r="C765" s="5">
        <v>0.53055555555555556</v>
      </c>
    </row>
    <row r="766" spans="3:3" x14ac:dyDescent="0.25">
      <c r="C766" s="5">
        <v>0.53125</v>
      </c>
    </row>
    <row r="767" spans="3:3" x14ac:dyDescent="0.25">
      <c r="C767" s="5">
        <v>0.53194444444444444</v>
      </c>
    </row>
    <row r="768" spans="3:3" x14ac:dyDescent="0.25">
      <c r="C768" s="5">
        <v>0.53263888888888888</v>
      </c>
    </row>
    <row r="769" spans="3:3" x14ac:dyDescent="0.25">
      <c r="C769" s="5">
        <v>0.53333333333333333</v>
      </c>
    </row>
    <row r="770" spans="3:3" x14ac:dyDescent="0.25">
      <c r="C770" s="5">
        <v>0.53402777777777777</v>
      </c>
    </row>
    <row r="771" spans="3:3" x14ac:dyDescent="0.25">
      <c r="C771" s="5">
        <v>0.53472222222222221</v>
      </c>
    </row>
    <row r="772" spans="3:3" x14ac:dyDescent="0.25">
      <c r="C772" s="5">
        <v>0.53541666666666665</v>
      </c>
    </row>
    <row r="773" spans="3:3" x14ac:dyDescent="0.25">
      <c r="C773" s="5">
        <v>0.53611111111111109</v>
      </c>
    </row>
    <row r="774" spans="3:3" x14ac:dyDescent="0.25">
      <c r="C774" s="5">
        <v>0.53680555555555554</v>
      </c>
    </row>
    <row r="775" spans="3:3" x14ac:dyDescent="0.25">
      <c r="C775" s="5">
        <v>0.53749999999999998</v>
      </c>
    </row>
    <row r="776" spans="3:3" x14ac:dyDescent="0.25">
      <c r="C776" s="5">
        <v>0.53819444444444442</v>
      </c>
    </row>
    <row r="777" spans="3:3" x14ac:dyDescent="0.25">
      <c r="C777" s="5">
        <v>0.53888888888888886</v>
      </c>
    </row>
    <row r="778" spans="3:3" x14ac:dyDescent="0.25">
      <c r="C778" s="5">
        <v>0.5395833333333333</v>
      </c>
    </row>
    <row r="779" spans="3:3" x14ac:dyDescent="0.25">
      <c r="C779" s="5">
        <v>0.54027777777777775</v>
      </c>
    </row>
    <row r="780" spans="3:3" x14ac:dyDescent="0.25">
      <c r="C780" s="5">
        <v>0.54097222222222219</v>
      </c>
    </row>
    <row r="781" spans="3:3" x14ac:dyDescent="0.25">
      <c r="C781" s="5">
        <v>0.54166666666666663</v>
      </c>
    </row>
    <row r="782" spans="3:3" x14ac:dyDescent="0.25">
      <c r="C782" s="5">
        <v>0.54236111111111107</v>
      </c>
    </row>
    <row r="783" spans="3:3" x14ac:dyDescent="0.25">
      <c r="C783" s="5">
        <v>0.54305555555555551</v>
      </c>
    </row>
    <row r="784" spans="3:3" x14ac:dyDescent="0.25">
      <c r="C784" s="5">
        <v>0.54374999999999996</v>
      </c>
    </row>
    <row r="785" spans="3:3" x14ac:dyDescent="0.25">
      <c r="C785" s="5">
        <v>0.5444444444444444</v>
      </c>
    </row>
    <row r="786" spans="3:3" x14ac:dyDescent="0.25">
      <c r="C786" s="5">
        <v>0.54513888888888884</v>
      </c>
    </row>
    <row r="787" spans="3:3" x14ac:dyDescent="0.25">
      <c r="C787" s="5">
        <v>0.54583333333333328</v>
      </c>
    </row>
    <row r="788" spans="3:3" x14ac:dyDescent="0.25">
      <c r="C788" s="5">
        <v>0.54652777777777772</v>
      </c>
    </row>
    <row r="789" spans="3:3" x14ac:dyDescent="0.25">
      <c r="C789" s="5">
        <v>0.54722222222222228</v>
      </c>
    </row>
    <row r="790" spans="3:3" x14ac:dyDescent="0.25">
      <c r="C790" s="5">
        <v>0.54791666666666672</v>
      </c>
    </row>
    <row r="791" spans="3:3" x14ac:dyDescent="0.25">
      <c r="C791" s="5">
        <v>0.54861111111111116</v>
      </c>
    </row>
    <row r="792" spans="3:3" x14ac:dyDescent="0.25">
      <c r="C792" s="5">
        <v>0.5493055555555556</v>
      </c>
    </row>
    <row r="793" spans="3:3" x14ac:dyDescent="0.25">
      <c r="C793" s="5">
        <v>0.55000000000000004</v>
      </c>
    </row>
    <row r="794" spans="3:3" x14ac:dyDescent="0.25">
      <c r="C794" s="5">
        <v>0.55069444444444449</v>
      </c>
    </row>
    <row r="795" spans="3:3" x14ac:dyDescent="0.25">
      <c r="C795" s="5">
        <v>0.55138888888888893</v>
      </c>
    </row>
    <row r="796" spans="3:3" x14ac:dyDescent="0.25">
      <c r="C796" s="5">
        <v>0.55208333333333337</v>
      </c>
    </row>
    <row r="797" spans="3:3" x14ac:dyDescent="0.25">
      <c r="C797" s="5">
        <v>0.55277777777777781</v>
      </c>
    </row>
    <row r="798" spans="3:3" x14ac:dyDescent="0.25">
      <c r="C798" s="5">
        <v>0.55347222222222225</v>
      </c>
    </row>
    <row r="799" spans="3:3" x14ac:dyDescent="0.25">
      <c r="C799" s="5">
        <v>0.5541666666666667</v>
      </c>
    </row>
    <row r="800" spans="3:3" x14ac:dyDescent="0.25">
      <c r="C800" s="5">
        <v>0.55486111111111114</v>
      </c>
    </row>
    <row r="801" spans="3:3" x14ac:dyDescent="0.25">
      <c r="C801" s="5">
        <v>0.55555555555555558</v>
      </c>
    </row>
    <row r="802" spans="3:3" x14ac:dyDescent="0.25">
      <c r="C802" s="5">
        <v>0.55625000000000002</v>
      </c>
    </row>
    <row r="803" spans="3:3" x14ac:dyDescent="0.25">
      <c r="C803" s="5">
        <v>0.55694444444444446</v>
      </c>
    </row>
    <row r="804" spans="3:3" x14ac:dyDescent="0.25">
      <c r="C804" s="5">
        <v>0.55763888888888891</v>
      </c>
    </row>
    <row r="805" spans="3:3" x14ac:dyDescent="0.25">
      <c r="C805" s="5">
        <v>0.55833333333333335</v>
      </c>
    </row>
    <row r="806" spans="3:3" x14ac:dyDescent="0.25">
      <c r="C806" s="5">
        <v>0.55902777777777779</v>
      </c>
    </row>
    <row r="807" spans="3:3" x14ac:dyDescent="0.25">
      <c r="C807" s="5">
        <v>0.55972222222222223</v>
      </c>
    </row>
    <row r="808" spans="3:3" x14ac:dyDescent="0.25">
      <c r="C808" s="5">
        <v>0.56041666666666667</v>
      </c>
    </row>
    <row r="809" spans="3:3" x14ac:dyDescent="0.25">
      <c r="C809" s="5">
        <v>0.56111111111111112</v>
      </c>
    </row>
    <row r="810" spans="3:3" x14ac:dyDescent="0.25">
      <c r="C810" s="5">
        <v>0.56180555555555556</v>
      </c>
    </row>
    <row r="811" spans="3:3" x14ac:dyDescent="0.25">
      <c r="C811" s="5">
        <v>0.5625</v>
      </c>
    </row>
    <row r="812" spans="3:3" x14ac:dyDescent="0.25">
      <c r="C812" s="5">
        <v>0.56319444444444444</v>
      </c>
    </row>
    <row r="813" spans="3:3" x14ac:dyDescent="0.25">
      <c r="C813" s="5">
        <v>0.56388888888888888</v>
      </c>
    </row>
    <row r="814" spans="3:3" x14ac:dyDescent="0.25">
      <c r="C814" s="5">
        <v>0.56458333333333333</v>
      </c>
    </row>
    <row r="815" spans="3:3" x14ac:dyDescent="0.25">
      <c r="C815" s="5">
        <v>0.56527777777777777</v>
      </c>
    </row>
    <row r="816" spans="3:3" x14ac:dyDescent="0.25">
      <c r="C816" s="5">
        <v>0.56597222222222221</v>
      </c>
    </row>
    <row r="817" spans="3:3" x14ac:dyDescent="0.25">
      <c r="C817" s="5">
        <v>0.56666666666666665</v>
      </c>
    </row>
    <row r="818" spans="3:3" x14ac:dyDescent="0.25">
      <c r="C818" s="5">
        <v>0.56736111111111109</v>
      </c>
    </row>
    <row r="819" spans="3:3" x14ac:dyDescent="0.25">
      <c r="C819" s="5">
        <v>0.56805555555555554</v>
      </c>
    </row>
    <row r="820" spans="3:3" x14ac:dyDescent="0.25">
      <c r="C820" s="5">
        <v>0.56874999999999998</v>
      </c>
    </row>
    <row r="821" spans="3:3" x14ac:dyDescent="0.25">
      <c r="C821" s="5">
        <v>0.56944444444444442</v>
      </c>
    </row>
    <row r="822" spans="3:3" x14ac:dyDescent="0.25">
      <c r="C822" s="5">
        <v>0.57013888888888886</v>
      </c>
    </row>
    <row r="823" spans="3:3" x14ac:dyDescent="0.25">
      <c r="C823" s="5">
        <v>0.5708333333333333</v>
      </c>
    </row>
    <row r="824" spans="3:3" x14ac:dyDescent="0.25">
      <c r="C824" s="5">
        <v>0.57152777777777775</v>
      </c>
    </row>
    <row r="825" spans="3:3" x14ac:dyDescent="0.25">
      <c r="C825" s="5">
        <v>0.57222222222222219</v>
      </c>
    </row>
    <row r="826" spans="3:3" x14ac:dyDescent="0.25">
      <c r="C826" s="5">
        <v>0.57291666666666663</v>
      </c>
    </row>
    <row r="827" spans="3:3" x14ac:dyDescent="0.25">
      <c r="C827" s="5">
        <v>0.57361111111111107</v>
      </c>
    </row>
    <row r="828" spans="3:3" x14ac:dyDescent="0.25">
      <c r="C828" s="5">
        <v>0.57430555555555551</v>
      </c>
    </row>
    <row r="829" spans="3:3" x14ac:dyDescent="0.25">
      <c r="C829" s="5">
        <v>0.57499999999999996</v>
      </c>
    </row>
    <row r="830" spans="3:3" x14ac:dyDescent="0.25">
      <c r="C830" s="5">
        <v>0.5756944444444444</v>
      </c>
    </row>
    <row r="831" spans="3:3" x14ac:dyDescent="0.25">
      <c r="C831" s="5">
        <v>0.57638888888888884</v>
      </c>
    </row>
    <row r="832" spans="3:3" x14ac:dyDescent="0.25">
      <c r="C832" s="5">
        <v>0.57708333333333328</v>
      </c>
    </row>
    <row r="833" spans="3:3" x14ac:dyDescent="0.25">
      <c r="C833" s="5">
        <v>0.57777777777777772</v>
      </c>
    </row>
    <row r="834" spans="3:3" x14ac:dyDescent="0.25">
      <c r="C834" s="5">
        <v>0.57847222222222228</v>
      </c>
    </row>
    <row r="835" spans="3:3" x14ac:dyDescent="0.25">
      <c r="C835" s="5">
        <v>0.57916666666666672</v>
      </c>
    </row>
    <row r="836" spans="3:3" x14ac:dyDescent="0.25">
      <c r="C836" s="5">
        <v>0.57986111111111116</v>
      </c>
    </row>
    <row r="837" spans="3:3" x14ac:dyDescent="0.25">
      <c r="C837" s="5">
        <v>0.5805555555555556</v>
      </c>
    </row>
    <row r="838" spans="3:3" x14ac:dyDescent="0.25">
      <c r="C838" s="5">
        <v>0.58125000000000004</v>
      </c>
    </row>
    <row r="839" spans="3:3" x14ac:dyDescent="0.25">
      <c r="C839" s="5">
        <v>0.58194444444444449</v>
      </c>
    </row>
    <row r="840" spans="3:3" x14ac:dyDescent="0.25">
      <c r="C840" s="5">
        <v>0.58263888888888893</v>
      </c>
    </row>
    <row r="841" spans="3:3" x14ac:dyDescent="0.25">
      <c r="C841" s="5">
        <v>0.58333333333333337</v>
      </c>
    </row>
    <row r="842" spans="3:3" x14ac:dyDescent="0.25">
      <c r="C842" s="5">
        <v>0.58402777777777781</v>
      </c>
    </row>
    <row r="843" spans="3:3" x14ac:dyDescent="0.25">
      <c r="C843" s="5">
        <v>0.58472222222222225</v>
      </c>
    </row>
    <row r="844" spans="3:3" x14ac:dyDescent="0.25">
      <c r="C844" s="5">
        <v>0.5854166666666667</v>
      </c>
    </row>
    <row r="845" spans="3:3" x14ac:dyDescent="0.25">
      <c r="C845" s="5">
        <v>0.58611111111111114</v>
      </c>
    </row>
    <row r="846" spans="3:3" x14ac:dyDescent="0.25">
      <c r="C846" s="5">
        <v>0.58680555555555558</v>
      </c>
    </row>
    <row r="847" spans="3:3" x14ac:dyDescent="0.25">
      <c r="C847" s="5">
        <v>0.58750000000000002</v>
      </c>
    </row>
    <row r="848" spans="3:3" x14ac:dyDescent="0.25">
      <c r="C848" s="5">
        <v>0.58819444444444446</v>
      </c>
    </row>
    <row r="849" spans="3:3" x14ac:dyDescent="0.25">
      <c r="C849" s="5">
        <v>0.58888888888888891</v>
      </c>
    </row>
    <row r="850" spans="3:3" x14ac:dyDescent="0.25">
      <c r="C850" s="5">
        <v>0.58958333333333335</v>
      </c>
    </row>
    <row r="851" spans="3:3" x14ac:dyDescent="0.25">
      <c r="C851" s="5">
        <v>0.59027777777777779</v>
      </c>
    </row>
    <row r="852" spans="3:3" x14ac:dyDescent="0.25">
      <c r="C852" s="5">
        <v>0.59097222222222223</v>
      </c>
    </row>
    <row r="853" spans="3:3" x14ac:dyDescent="0.25">
      <c r="C853" s="5">
        <v>0.59166666666666667</v>
      </c>
    </row>
    <row r="854" spans="3:3" x14ac:dyDescent="0.25">
      <c r="C854" s="5">
        <v>0.59236111111111112</v>
      </c>
    </row>
    <row r="855" spans="3:3" x14ac:dyDescent="0.25">
      <c r="C855" s="5">
        <v>0.59305555555555556</v>
      </c>
    </row>
    <row r="856" spans="3:3" x14ac:dyDescent="0.25">
      <c r="C856" s="5">
        <v>0.59375</v>
      </c>
    </row>
    <row r="857" spans="3:3" x14ac:dyDescent="0.25">
      <c r="C857" s="5">
        <v>0.59444444444444444</v>
      </c>
    </row>
    <row r="858" spans="3:3" x14ac:dyDescent="0.25">
      <c r="C858" s="5">
        <v>0.59513888888888888</v>
      </c>
    </row>
    <row r="859" spans="3:3" x14ac:dyDescent="0.25">
      <c r="C859" s="5">
        <v>0.59583333333333333</v>
      </c>
    </row>
    <row r="860" spans="3:3" x14ac:dyDescent="0.25">
      <c r="C860" s="5">
        <v>0.59652777777777777</v>
      </c>
    </row>
    <row r="861" spans="3:3" x14ac:dyDescent="0.25">
      <c r="C861" s="5">
        <v>0.59722222222222221</v>
      </c>
    </row>
    <row r="862" spans="3:3" x14ac:dyDescent="0.25">
      <c r="C862" s="5">
        <v>0.59791666666666665</v>
      </c>
    </row>
    <row r="863" spans="3:3" x14ac:dyDescent="0.25">
      <c r="C863" s="5">
        <v>0.59861111111111109</v>
      </c>
    </row>
    <row r="864" spans="3:3" x14ac:dyDescent="0.25">
      <c r="C864" s="5">
        <v>0.59930555555555554</v>
      </c>
    </row>
    <row r="865" spans="3:3" x14ac:dyDescent="0.25">
      <c r="C865" s="5">
        <v>0.6</v>
      </c>
    </row>
    <row r="866" spans="3:3" x14ac:dyDescent="0.25">
      <c r="C866" s="5">
        <v>0.60069444444444442</v>
      </c>
    </row>
    <row r="867" spans="3:3" x14ac:dyDescent="0.25">
      <c r="C867" s="5">
        <v>0.60138888888888886</v>
      </c>
    </row>
    <row r="868" spans="3:3" x14ac:dyDescent="0.25">
      <c r="C868" s="5">
        <v>0.6020833333333333</v>
      </c>
    </row>
    <row r="869" spans="3:3" x14ac:dyDescent="0.25">
      <c r="C869" s="5">
        <v>0.60277777777777775</v>
      </c>
    </row>
    <row r="870" spans="3:3" x14ac:dyDescent="0.25">
      <c r="C870" s="5">
        <v>0.60347222222222219</v>
      </c>
    </row>
    <row r="871" spans="3:3" x14ac:dyDescent="0.25">
      <c r="C871" s="5">
        <v>0.60416666666666663</v>
      </c>
    </row>
    <row r="872" spans="3:3" x14ac:dyDescent="0.25">
      <c r="C872" s="5">
        <v>0.60486111111111107</v>
      </c>
    </row>
    <row r="873" spans="3:3" x14ac:dyDescent="0.25">
      <c r="C873" s="5">
        <v>0.60555555555555551</v>
      </c>
    </row>
    <row r="874" spans="3:3" x14ac:dyDescent="0.25">
      <c r="C874" s="5">
        <v>0.60624999999999996</v>
      </c>
    </row>
    <row r="875" spans="3:3" x14ac:dyDescent="0.25">
      <c r="C875" s="5">
        <v>0.6069444444444444</v>
      </c>
    </row>
    <row r="876" spans="3:3" x14ac:dyDescent="0.25">
      <c r="C876" s="5">
        <v>0.60763888888888884</v>
      </c>
    </row>
    <row r="877" spans="3:3" x14ac:dyDescent="0.25">
      <c r="C877" s="5">
        <v>0.60833333333333328</v>
      </c>
    </row>
    <row r="878" spans="3:3" x14ac:dyDescent="0.25">
      <c r="C878" s="5">
        <v>0.60902777777777772</v>
      </c>
    </row>
    <row r="879" spans="3:3" x14ac:dyDescent="0.25">
      <c r="C879" s="5">
        <v>0.60972222222222228</v>
      </c>
    </row>
    <row r="880" spans="3:3" x14ac:dyDescent="0.25">
      <c r="C880" s="5">
        <v>0.61041666666666672</v>
      </c>
    </row>
    <row r="881" spans="3:3" x14ac:dyDescent="0.25">
      <c r="C881" s="5">
        <v>0.61111111111111116</v>
      </c>
    </row>
    <row r="882" spans="3:3" x14ac:dyDescent="0.25">
      <c r="C882" s="5">
        <v>0.6118055555555556</v>
      </c>
    </row>
    <row r="883" spans="3:3" x14ac:dyDescent="0.25">
      <c r="C883" s="5">
        <v>0.61250000000000004</v>
      </c>
    </row>
    <row r="884" spans="3:3" x14ac:dyDescent="0.25">
      <c r="C884" s="5">
        <v>0.61319444444444449</v>
      </c>
    </row>
    <row r="885" spans="3:3" x14ac:dyDescent="0.25">
      <c r="C885" s="5">
        <v>0.61388888888888893</v>
      </c>
    </row>
    <row r="886" spans="3:3" x14ac:dyDescent="0.25">
      <c r="C886" s="5">
        <v>0.61458333333333337</v>
      </c>
    </row>
    <row r="887" spans="3:3" x14ac:dyDescent="0.25">
      <c r="C887" s="5">
        <v>0.61527777777777781</v>
      </c>
    </row>
    <row r="888" spans="3:3" x14ac:dyDescent="0.25">
      <c r="C888" s="5">
        <v>0.61597222222222225</v>
      </c>
    </row>
    <row r="889" spans="3:3" x14ac:dyDescent="0.25">
      <c r="C889" s="5">
        <v>0.6166666666666667</v>
      </c>
    </row>
    <row r="890" spans="3:3" x14ac:dyDescent="0.25">
      <c r="C890" s="5">
        <v>0.61736111111111114</v>
      </c>
    </row>
    <row r="891" spans="3:3" x14ac:dyDescent="0.25">
      <c r="C891" s="5">
        <v>0.61805555555555558</v>
      </c>
    </row>
    <row r="892" spans="3:3" x14ac:dyDescent="0.25">
      <c r="C892" s="5">
        <v>0.61875000000000002</v>
      </c>
    </row>
    <row r="893" spans="3:3" x14ac:dyDescent="0.25">
      <c r="C893" s="5">
        <v>0.61944444444444446</v>
      </c>
    </row>
    <row r="894" spans="3:3" x14ac:dyDescent="0.25">
      <c r="C894" s="5">
        <v>0.62013888888888891</v>
      </c>
    </row>
    <row r="895" spans="3:3" x14ac:dyDescent="0.25">
      <c r="C895" s="5">
        <v>0.62083333333333335</v>
      </c>
    </row>
    <row r="896" spans="3:3" x14ac:dyDescent="0.25">
      <c r="C896" s="5">
        <v>0.62152777777777779</v>
      </c>
    </row>
    <row r="897" spans="3:3" x14ac:dyDescent="0.25">
      <c r="C897" s="5">
        <v>0.62222222222222223</v>
      </c>
    </row>
    <row r="898" spans="3:3" x14ac:dyDescent="0.25">
      <c r="C898" s="5">
        <v>0.62291666666666667</v>
      </c>
    </row>
    <row r="899" spans="3:3" x14ac:dyDescent="0.25">
      <c r="C899" s="5">
        <v>0.62361111111111112</v>
      </c>
    </row>
    <row r="900" spans="3:3" x14ac:dyDescent="0.25">
      <c r="C900" s="5">
        <v>0.62430555555555556</v>
      </c>
    </row>
    <row r="901" spans="3:3" x14ac:dyDescent="0.25">
      <c r="C901" s="5">
        <v>0.625</v>
      </c>
    </row>
    <row r="902" spans="3:3" x14ac:dyDescent="0.25">
      <c r="C902" s="5">
        <v>0.62569444444444444</v>
      </c>
    </row>
    <row r="903" spans="3:3" x14ac:dyDescent="0.25">
      <c r="C903" s="5">
        <v>0.62638888888888888</v>
      </c>
    </row>
    <row r="904" spans="3:3" x14ac:dyDescent="0.25">
      <c r="C904" s="5">
        <v>0.62708333333333333</v>
      </c>
    </row>
    <row r="905" spans="3:3" x14ac:dyDescent="0.25">
      <c r="C905" s="5">
        <v>0.62777777777777777</v>
      </c>
    </row>
    <row r="906" spans="3:3" x14ac:dyDescent="0.25">
      <c r="C906" s="5">
        <v>0.62847222222222221</v>
      </c>
    </row>
    <row r="907" spans="3:3" x14ac:dyDescent="0.25">
      <c r="C907" s="5">
        <v>0.62916666666666665</v>
      </c>
    </row>
    <row r="908" spans="3:3" x14ac:dyDescent="0.25">
      <c r="C908" s="5">
        <v>0.62986111111111109</v>
      </c>
    </row>
    <row r="909" spans="3:3" x14ac:dyDescent="0.25">
      <c r="C909" s="5">
        <v>0.63055555555555554</v>
      </c>
    </row>
    <row r="910" spans="3:3" x14ac:dyDescent="0.25">
      <c r="C910" s="5">
        <v>0.63124999999999998</v>
      </c>
    </row>
    <row r="911" spans="3:3" x14ac:dyDescent="0.25">
      <c r="C911" s="5">
        <v>0.63194444444444442</v>
      </c>
    </row>
    <row r="912" spans="3:3" x14ac:dyDescent="0.25">
      <c r="C912" s="5">
        <v>0.63263888888888886</v>
      </c>
    </row>
    <row r="913" spans="3:3" x14ac:dyDescent="0.25">
      <c r="C913" s="5">
        <v>0.6333333333333333</v>
      </c>
    </row>
    <row r="914" spans="3:3" x14ac:dyDescent="0.25">
      <c r="C914" s="5">
        <v>0.63402777777777775</v>
      </c>
    </row>
    <row r="915" spans="3:3" x14ac:dyDescent="0.25">
      <c r="C915" s="5">
        <v>0.63472222222222219</v>
      </c>
    </row>
    <row r="916" spans="3:3" x14ac:dyDescent="0.25">
      <c r="C916" s="5">
        <v>0.63541666666666663</v>
      </c>
    </row>
    <row r="917" spans="3:3" x14ac:dyDescent="0.25">
      <c r="C917" s="5">
        <v>0.63611111111111107</v>
      </c>
    </row>
    <row r="918" spans="3:3" x14ac:dyDescent="0.25">
      <c r="C918" s="5">
        <v>0.63680555555555551</v>
      </c>
    </row>
    <row r="919" spans="3:3" x14ac:dyDescent="0.25">
      <c r="C919" s="5">
        <v>0.63749999999999996</v>
      </c>
    </row>
    <row r="920" spans="3:3" x14ac:dyDescent="0.25">
      <c r="C920" s="5">
        <v>0.6381944444444444</v>
      </c>
    </row>
    <row r="921" spans="3:3" x14ac:dyDescent="0.25">
      <c r="C921" s="5">
        <v>0.63888888888888884</v>
      </c>
    </row>
    <row r="922" spans="3:3" x14ac:dyDescent="0.25">
      <c r="C922" s="5">
        <v>0.63958333333333328</v>
      </c>
    </row>
    <row r="923" spans="3:3" x14ac:dyDescent="0.25">
      <c r="C923" s="5">
        <v>0.64027777777777772</v>
      </c>
    </row>
    <row r="924" spans="3:3" x14ac:dyDescent="0.25">
      <c r="C924" s="5">
        <v>0.64097222222222228</v>
      </c>
    </row>
    <row r="925" spans="3:3" x14ac:dyDescent="0.25">
      <c r="C925" s="5">
        <v>0.64166666666666672</v>
      </c>
    </row>
    <row r="926" spans="3:3" x14ac:dyDescent="0.25">
      <c r="C926" s="5">
        <v>0.64236111111111116</v>
      </c>
    </row>
    <row r="927" spans="3:3" x14ac:dyDescent="0.25">
      <c r="C927" s="5">
        <v>0.6430555555555556</v>
      </c>
    </row>
    <row r="928" spans="3:3" x14ac:dyDescent="0.25">
      <c r="C928" s="5">
        <v>0.64375000000000004</v>
      </c>
    </row>
    <row r="929" spans="3:3" x14ac:dyDescent="0.25">
      <c r="C929" s="5">
        <v>0.64444444444444449</v>
      </c>
    </row>
    <row r="930" spans="3:3" x14ac:dyDescent="0.25">
      <c r="C930" s="5">
        <v>0.64513888888888893</v>
      </c>
    </row>
    <row r="931" spans="3:3" x14ac:dyDescent="0.25">
      <c r="C931" s="5">
        <v>0.64583333333333337</v>
      </c>
    </row>
    <row r="932" spans="3:3" x14ac:dyDescent="0.25">
      <c r="C932" s="5">
        <v>0.64652777777777781</v>
      </c>
    </row>
    <row r="933" spans="3:3" x14ac:dyDescent="0.25">
      <c r="C933" s="5">
        <v>0.64722222222222225</v>
      </c>
    </row>
    <row r="934" spans="3:3" x14ac:dyDescent="0.25">
      <c r="C934" s="5">
        <v>0.6479166666666667</v>
      </c>
    </row>
    <row r="935" spans="3:3" x14ac:dyDescent="0.25">
      <c r="C935" s="5">
        <v>0.64861111111111114</v>
      </c>
    </row>
    <row r="936" spans="3:3" x14ac:dyDescent="0.25">
      <c r="C936" s="5">
        <v>0.64930555555555558</v>
      </c>
    </row>
    <row r="937" spans="3:3" x14ac:dyDescent="0.25">
      <c r="C937" s="5">
        <v>0.65</v>
      </c>
    </row>
    <row r="938" spans="3:3" x14ac:dyDescent="0.25">
      <c r="C938" s="5">
        <v>0.65069444444444446</v>
      </c>
    </row>
    <row r="939" spans="3:3" x14ac:dyDescent="0.25">
      <c r="C939" s="5">
        <v>0.65138888888888891</v>
      </c>
    </row>
    <row r="940" spans="3:3" x14ac:dyDescent="0.25">
      <c r="C940" s="5">
        <v>0.65208333333333335</v>
      </c>
    </row>
    <row r="941" spans="3:3" x14ac:dyDescent="0.25">
      <c r="C941" s="5">
        <v>0.65277777777777779</v>
      </c>
    </row>
    <row r="942" spans="3:3" x14ac:dyDescent="0.25">
      <c r="C942" s="5">
        <v>0.65347222222222223</v>
      </c>
    </row>
    <row r="943" spans="3:3" x14ac:dyDescent="0.25">
      <c r="C943" s="5">
        <v>0.65416666666666667</v>
      </c>
    </row>
    <row r="944" spans="3:3" x14ac:dyDescent="0.25">
      <c r="C944" s="5">
        <v>0.65486111111111112</v>
      </c>
    </row>
    <row r="945" spans="3:3" x14ac:dyDescent="0.25">
      <c r="C945" s="5">
        <v>0.65555555555555556</v>
      </c>
    </row>
    <row r="946" spans="3:3" x14ac:dyDescent="0.25">
      <c r="C946" s="5">
        <v>0.65625</v>
      </c>
    </row>
    <row r="947" spans="3:3" x14ac:dyDescent="0.25">
      <c r="C947" s="5">
        <v>0.65694444444444444</v>
      </c>
    </row>
    <row r="948" spans="3:3" x14ac:dyDescent="0.25">
      <c r="C948" s="5">
        <v>0.65763888888888888</v>
      </c>
    </row>
    <row r="949" spans="3:3" x14ac:dyDescent="0.25">
      <c r="C949" s="5">
        <v>0.65833333333333333</v>
      </c>
    </row>
    <row r="950" spans="3:3" x14ac:dyDescent="0.25">
      <c r="C950" s="5">
        <v>0.65902777777777777</v>
      </c>
    </row>
    <row r="951" spans="3:3" x14ac:dyDescent="0.25">
      <c r="C951" s="5">
        <v>0.65972222222222221</v>
      </c>
    </row>
    <row r="952" spans="3:3" x14ac:dyDescent="0.25">
      <c r="C952" s="5">
        <v>0.66041666666666665</v>
      </c>
    </row>
    <row r="953" spans="3:3" x14ac:dyDescent="0.25">
      <c r="C953" s="5">
        <v>0.66111111111111109</v>
      </c>
    </row>
    <row r="954" spans="3:3" x14ac:dyDescent="0.25">
      <c r="C954" s="5">
        <v>0.66180555555555554</v>
      </c>
    </row>
    <row r="955" spans="3:3" x14ac:dyDescent="0.25">
      <c r="C955" s="5">
        <v>0.66249999999999998</v>
      </c>
    </row>
    <row r="956" spans="3:3" x14ac:dyDescent="0.25">
      <c r="C956" s="5">
        <v>0.66319444444444442</v>
      </c>
    </row>
    <row r="957" spans="3:3" x14ac:dyDescent="0.25">
      <c r="C957" s="5">
        <v>0.66388888888888886</v>
      </c>
    </row>
    <row r="958" spans="3:3" x14ac:dyDescent="0.25">
      <c r="C958" s="5">
        <v>0.6645833333333333</v>
      </c>
    </row>
    <row r="959" spans="3:3" x14ac:dyDescent="0.25">
      <c r="C959" s="5">
        <v>0.66527777777777775</v>
      </c>
    </row>
    <row r="960" spans="3:3" x14ac:dyDescent="0.25">
      <c r="C960" s="5">
        <v>0.66597222222222219</v>
      </c>
    </row>
    <row r="961" spans="3:3" x14ac:dyDescent="0.25">
      <c r="C961" s="5">
        <v>0.66666666666666663</v>
      </c>
    </row>
    <row r="962" spans="3:3" x14ac:dyDescent="0.25">
      <c r="C962" s="5">
        <v>0.66736111111111107</v>
      </c>
    </row>
    <row r="963" spans="3:3" x14ac:dyDescent="0.25">
      <c r="C963" s="5">
        <v>0.66805555555555551</v>
      </c>
    </row>
    <row r="964" spans="3:3" x14ac:dyDescent="0.25">
      <c r="C964" s="5">
        <v>0.66874999999999996</v>
      </c>
    </row>
    <row r="965" spans="3:3" x14ac:dyDescent="0.25">
      <c r="C965" s="5">
        <v>0.6694444444444444</v>
      </c>
    </row>
    <row r="966" spans="3:3" x14ac:dyDescent="0.25">
      <c r="C966" s="5">
        <v>0.67013888888888884</v>
      </c>
    </row>
    <row r="967" spans="3:3" x14ac:dyDescent="0.25">
      <c r="C967" s="5">
        <v>0.67083333333333328</v>
      </c>
    </row>
    <row r="968" spans="3:3" x14ac:dyDescent="0.25">
      <c r="C968" s="5">
        <v>0.67152777777777772</v>
      </c>
    </row>
    <row r="969" spans="3:3" x14ac:dyDescent="0.25">
      <c r="C969" s="5">
        <v>0.67222222222222228</v>
      </c>
    </row>
    <row r="970" spans="3:3" x14ac:dyDescent="0.25">
      <c r="C970" s="5">
        <v>0.67291666666666672</v>
      </c>
    </row>
    <row r="971" spans="3:3" x14ac:dyDescent="0.25">
      <c r="C971" s="5">
        <v>0.67361111111111116</v>
      </c>
    </row>
    <row r="972" spans="3:3" x14ac:dyDescent="0.25">
      <c r="C972" s="5">
        <v>0.6743055555555556</v>
      </c>
    </row>
    <row r="973" spans="3:3" x14ac:dyDescent="0.25">
      <c r="C973" s="5">
        <v>0.67500000000000004</v>
      </c>
    </row>
    <row r="974" spans="3:3" x14ac:dyDescent="0.25">
      <c r="C974" s="5">
        <v>0.67569444444444449</v>
      </c>
    </row>
    <row r="975" spans="3:3" x14ac:dyDescent="0.25">
      <c r="C975" s="5">
        <v>0.67638888888888893</v>
      </c>
    </row>
    <row r="976" spans="3:3" x14ac:dyDescent="0.25">
      <c r="C976" s="5">
        <v>0.67708333333333337</v>
      </c>
    </row>
    <row r="977" spans="3:3" x14ac:dyDescent="0.25">
      <c r="C977" s="5">
        <v>0.67777777777777781</v>
      </c>
    </row>
    <row r="978" spans="3:3" x14ac:dyDescent="0.25">
      <c r="C978" s="5">
        <v>0.67847222222222225</v>
      </c>
    </row>
    <row r="979" spans="3:3" x14ac:dyDescent="0.25">
      <c r="C979" s="5">
        <v>0.6791666666666667</v>
      </c>
    </row>
    <row r="980" spans="3:3" x14ac:dyDescent="0.25">
      <c r="C980" s="5">
        <v>0.67986111111111114</v>
      </c>
    </row>
    <row r="981" spans="3:3" x14ac:dyDescent="0.25">
      <c r="C981" s="5">
        <v>0.68055555555555558</v>
      </c>
    </row>
    <row r="982" spans="3:3" x14ac:dyDescent="0.25">
      <c r="C982" s="5">
        <v>0.68125000000000002</v>
      </c>
    </row>
    <row r="983" spans="3:3" x14ac:dyDescent="0.25">
      <c r="C983" s="5">
        <v>0.68194444444444446</v>
      </c>
    </row>
    <row r="984" spans="3:3" x14ac:dyDescent="0.25">
      <c r="C984" s="5">
        <v>0.68263888888888891</v>
      </c>
    </row>
    <row r="985" spans="3:3" x14ac:dyDescent="0.25">
      <c r="C985" s="5">
        <v>0.68333333333333335</v>
      </c>
    </row>
    <row r="986" spans="3:3" x14ac:dyDescent="0.25">
      <c r="C986" s="5">
        <v>0.68402777777777779</v>
      </c>
    </row>
    <row r="987" spans="3:3" x14ac:dyDescent="0.25">
      <c r="C987" s="5">
        <v>0.68472222222222223</v>
      </c>
    </row>
    <row r="988" spans="3:3" x14ac:dyDescent="0.25">
      <c r="C988" s="5">
        <v>0.68541666666666667</v>
      </c>
    </row>
    <row r="989" spans="3:3" x14ac:dyDescent="0.25">
      <c r="C989" s="5">
        <v>0.68611111111111112</v>
      </c>
    </row>
    <row r="990" spans="3:3" x14ac:dyDescent="0.25">
      <c r="C990" s="5">
        <v>0.68680555555555556</v>
      </c>
    </row>
    <row r="991" spans="3:3" x14ac:dyDescent="0.25">
      <c r="C991" s="5">
        <v>0.6875</v>
      </c>
    </row>
    <row r="992" spans="3:3" x14ac:dyDescent="0.25">
      <c r="C992" s="5">
        <v>0.68819444444444444</v>
      </c>
    </row>
    <row r="993" spans="3:3" x14ac:dyDescent="0.25">
      <c r="C993" s="5">
        <v>0.68888888888888888</v>
      </c>
    </row>
    <row r="994" spans="3:3" x14ac:dyDescent="0.25">
      <c r="C994" s="5">
        <v>0.68958333333333333</v>
      </c>
    </row>
    <row r="995" spans="3:3" x14ac:dyDescent="0.25">
      <c r="C995" s="5">
        <v>0.69027777777777777</v>
      </c>
    </row>
    <row r="996" spans="3:3" x14ac:dyDescent="0.25">
      <c r="C996" s="5">
        <v>0.69097222222222221</v>
      </c>
    </row>
    <row r="997" spans="3:3" x14ac:dyDescent="0.25">
      <c r="C997" s="5">
        <v>0.69166666666666665</v>
      </c>
    </row>
    <row r="998" spans="3:3" x14ac:dyDescent="0.25">
      <c r="C998" s="5">
        <v>0.69236111111111109</v>
      </c>
    </row>
    <row r="999" spans="3:3" x14ac:dyDescent="0.25">
      <c r="C999" s="5">
        <v>0.69305555555555554</v>
      </c>
    </row>
    <row r="1000" spans="3:3" x14ac:dyDescent="0.25">
      <c r="C1000" s="5">
        <v>0.69374999999999998</v>
      </c>
    </row>
    <row r="1001" spans="3:3" x14ac:dyDescent="0.25">
      <c r="C1001" s="5">
        <v>0.69444444444444442</v>
      </c>
    </row>
    <row r="1002" spans="3:3" x14ac:dyDescent="0.25">
      <c r="C1002" s="5">
        <v>0.69513888888888886</v>
      </c>
    </row>
    <row r="1003" spans="3:3" x14ac:dyDescent="0.25">
      <c r="C1003" s="5">
        <v>0.6958333333333333</v>
      </c>
    </row>
    <row r="1004" spans="3:3" x14ac:dyDescent="0.25">
      <c r="C1004" s="5">
        <v>0.69652777777777775</v>
      </c>
    </row>
    <row r="1005" spans="3:3" x14ac:dyDescent="0.25">
      <c r="C1005" s="5">
        <v>0.69722222222222219</v>
      </c>
    </row>
    <row r="1006" spans="3:3" x14ac:dyDescent="0.25">
      <c r="C1006" s="5">
        <v>0.69791666666666663</v>
      </c>
    </row>
    <row r="1007" spans="3:3" x14ac:dyDescent="0.25">
      <c r="C1007" s="5">
        <v>0.69861111111111107</v>
      </c>
    </row>
    <row r="1008" spans="3:3" x14ac:dyDescent="0.25">
      <c r="C1008" s="5">
        <v>0.69930555555555551</v>
      </c>
    </row>
    <row r="1009" spans="3:3" x14ac:dyDescent="0.25">
      <c r="C1009" s="5">
        <v>0.7</v>
      </c>
    </row>
    <row r="1010" spans="3:3" x14ac:dyDescent="0.25">
      <c r="C1010" s="5">
        <v>0.7006944444444444</v>
      </c>
    </row>
    <row r="1011" spans="3:3" x14ac:dyDescent="0.25">
      <c r="C1011" s="5">
        <v>0.70138888888888884</v>
      </c>
    </row>
    <row r="1012" spans="3:3" x14ac:dyDescent="0.25">
      <c r="C1012" s="5">
        <v>0.70208333333333328</v>
      </c>
    </row>
    <row r="1013" spans="3:3" x14ac:dyDescent="0.25">
      <c r="C1013" s="5">
        <v>0.70277777777777772</v>
      </c>
    </row>
    <row r="1014" spans="3:3" x14ac:dyDescent="0.25">
      <c r="C1014" s="5">
        <v>0.70347222222222228</v>
      </c>
    </row>
    <row r="1015" spans="3:3" x14ac:dyDescent="0.25">
      <c r="C1015" s="5">
        <v>0.70416666666666672</v>
      </c>
    </row>
    <row r="1016" spans="3:3" x14ac:dyDescent="0.25">
      <c r="C1016" s="5">
        <v>0.70486111111111116</v>
      </c>
    </row>
    <row r="1017" spans="3:3" x14ac:dyDescent="0.25">
      <c r="C1017" s="5">
        <v>0.7055555555555556</v>
      </c>
    </row>
    <row r="1018" spans="3:3" x14ac:dyDescent="0.25">
      <c r="C1018" s="5">
        <v>0.70625000000000004</v>
      </c>
    </row>
    <row r="1019" spans="3:3" x14ac:dyDescent="0.25">
      <c r="C1019" s="5">
        <v>0.70694444444444449</v>
      </c>
    </row>
    <row r="1020" spans="3:3" x14ac:dyDescent="0.25">
      <c r="C1020" s="5">
        <v>0.70763888888888893</v>
      </c>
    </row>
    <row r="1021" spans="3:3" x14ac:dyDescent="0.25">
      <c r="C1021" s="5">
        <v>0.70833333333333337</v>
      </c>
    </row>
    <row r="1022" spans="3:3" x14ac:dyDescent="0.25">
      <c r="C1022" s="5">
        <v>0.70902777777777781</v>
      </c>
    </row>
    <row r="1023" spans="3:3" x14ac:dyDescent="0.25">
      <c r="C1023" s="5">
        <v>0.70972222222222225</v>
      </c>
    </row>
    <row r="1024" spans="3:3" x14ac:dyDescent="0.25">
      <c r="C1024" s="5">
        <v>0.7104166666666667</v>
      </c>
    </row>
    <row r="1025" spans="3:3" x14ac:dyDescent="0.25">
      <c r="C1025" s="5">
        <v>0.71111111111111114</v>
      </c>
    </row>
    <row r="1026" spans="3:3" x14ac:dyDescent="0.25">
      <c r="C1026" s="5">
        <v>0.71180555555555558</v>
      </c>
    </row>
    <row r="1027" spans="3:3" x14ac:dyDescent="0.25">
      <c r="C1027" s="5">
        <v>0.71250000000000002</v>
      </c>
    </row>
    <row r="1028" spans="3:3" x14ac:dyDescent="0.25">
      <c r="C1028" s="5">
        <v>0.71319444444444446</v>
      </c>
    </row>
    <row r="1029" spans="3:3" x14ac:dyDescent="0.25">
      <c r="C1029" s="5">
        <v>0.71388888888888891</v>
      </c>
    </row>
    <row r="1030" spans="3:3" x14ac:dyDescent="0.25">
      <c r="C1030" s="5">
        <v>0.71458333333333335</v>
      </c>
    </row>
    <row r="1031" spans="3:3" x14ac:dyDescent="0.25">
      <c r="C1031" s="5">
        <v>0.71527777777777779</v>
      </c>
    </row>
    <row r="1032" spans="3:3" x14ac:dyDescent="0.25">
      <c r="C1032" s="5">
        <v>0.71597222222222223</v>
      </c>
    </row>
    <row r="1033" spans="3:3" x14ac:dyDescent="0.25">
      <c r="C1033" s="5">
        <v>0.71666666666666667</v>
      </c>
    </row>
    <row r="1034" spans="3:3" x14ac:dyDescent="0.25">
      <c r="C1034" s="5">
        <v>0.71736111111111112</v>
      </c>
    </row>
    <row r="1035" spans="3:3" x14ac:dyDescent="0.25">
      <c r="C1035" s="5">
        <v>0.71805555555555556</v>
      </c>
    </row>
    <row r="1036" spans="3:3" x14ac:dyDescent="0.25">
      <c r="C1036" s="5">
        <v>0.71875</v>
      </c>
    </row>
    <row r="1037" spans="3:3" x14ac:dyDescent="0.25">
      <c r="C1037" s="5">
        <v>0.71944444444444444</v>
      </c>
    </row>
    <row r="1038" spans="3:3" x14ac:dyDescent="0.25">
      <c r="C1038" s="5">
        <v>0.72013888888888888</v>
      </c>
    </row>
    <row r="1039" spans="3:3" x14ac:dyDescent="0.25">
      <c r="C1039" s="5">
        <v>0.72083333333333333</v>
      </c>
    </row>
    <row r="1040" spans="3:3" x14ac:dyDescent="0.25">
      <c r="C1040" s="5">
        <v>0.72152777777777777</v>
      </c>
    </row>
    <row r="1041" spans="3:3" x14ac:dyDescent="0.25">
      <c r="C1041" s="5">
        <v>0.72222222222222221</v>
      </c>
    </row>
    <row r="1042" spans="3:3" x14ac:dyDescent="0.25">
      <c r="C1042" s="5">
        <v>0.72291666666666665</v>
      </c>
    </row>
    <row r="1043" spans="3:3" x14ac:dyDescent="0.25">
      <c r="C1043" s="5">
        <v>0.72361111111111109</v>
      </c>
    </row>
    <row r="1044" spans="3:3" x14ac:dyDescent="0.25">
      <c r="C1044" s="5">
        <v>0.72430555555555554</v>
      </c>
    </row>
    <row r="1045" spans="3:3" x14ac:dyDescent="0.25">
      <c r="C1045" s="5">
        <v>0.72499999999999998</v>
      </c>
    </row>
    <row r="1046" spans="3:3" x14ac:dyDescent="0.25">
      <c r="C1046" s="5">
        <v>0.72569444444444442</v>
      </c>
    </row>
    <row r="1047" spans="3:3" x14ac:dyDescent="0.25">
      <c r="C1047" s="5">
        <v>0.72638888888888886</v>
      </c>
    </row>
    <row r="1048" spans="3:3" x14ac:dyDescent="0.25">
      <c r="C1048" s="5">
        <v>0.7270833333333333</v>
      </c>
    </row>
    <row r="1049" spans="3:3" x14ac:dyDescent="0.25">
      <c r="C1049" s="5">
        <v>0.72777777777777775</v>
      </c>
    </row>
    <row r="1050" spans="3:3" x14ac:dyDescent="0.25">
      <c r="C1050" s="5">
        <v>0.72847222222222219</v>
      </c>
    </row>
    <row r="1051" spans="3:3" x14ac:dyDescent="0.25">
      <c r="C1051" s="5">
        <v>0.72916666666666663</v>
      </c>
    </row>
    <row r="1052" spans="3:3" x14ac:dyDescent="0.25">
      <c r="C1052" s="5">
        <v>0.72986111111111107</v>
      </c>
    </row>
    <row r="1053" spans="3:3" x14ac:dyDescent="0.25">
      <c r="C1053" s="5">
        <v>0.73055555555555551</v>
      </c>
    </row>
    <row r="1054" spans="3:3" x14ac:dyDescent="0.25">
      <c r="C1054" s="5">
        <v>0.73124999999999996</v>
      </c>
    </row>
    <row r="1055" spans="3:3" x14ac:dyDescent="0.25">
      <c r="C1055" s="5">
        <v>0.7319444444444444</v>
      </c>
    </row>
    <row r="1056" spans="3:3" x14ac:dyDescent="0.25">
      <c r="C1056" s="5">
        <v>0.73263888888888884</v>
      </c>
    </row>
    <row r="1057" spans="3:3" x14ac:dyDescent="0.25">
      <c r="C1057" s="5">
        <v>0.73333333333333328</v>
      </c>
    </row>
    <row r="1058" spans="3:3" x14ac:dyDescent="0.25">
      <c r="C1058" s="5">
        <v>0.73402777777777772</v>
      </c>
    </row>
    <row r="1059" spans="3:3" x14ac:dyDescent="0.25">
      <c r="C1059" s="5">
        <v>0.73472222222222228</v>
      </c>
    </row>
    <row r="1060" spans="3:3" x14ac:dyDescent="0.25">
      <c r="C1060" s="5">
        <v>0.73541666666666672</v>
      </c>
    </row>
    <row r="1061" spans="3:3" x14ac:dyDescent="0.25">
      <c r="C1061" s="5">
        <v>0.73611111111111116</v>
      </c>
    </row>
    <row r="1062" spans="3:3" x14ac:dyDescent="0.25">
      <c r="C1062" s="5">
        <v>0.7368055555555556</v>
      </c>
    </row>
    <row r="1063" spans="3:3" x14ac:dyDescent="0.25">
      <c r="C1063" s="5">
        <v>0.73750000000000004</v>
      </c>
    </row>
    <row r="1064" spans="3:3" x14ac:dyDescent="0.25">
      <c r="C1064" s="5">
        <v>0.73819444444444449</v>
      </c>
    </row>
    <row r="1065" spans="3:3" x14ac:dyDescent="0.25">
      <c r="C1065" s="5">
        <v>0.73888888888888893</v>
      </c>
    </row>
    <row r="1066" spans="3:3" x14ac:dyDescent="0.25">
      <c r="C1066" s="5">
        <v>0.73958333333333337</v>
      </c>
    </row>
    <row r="1067" spans="3:3" x14ac:dyDescent="0.25">
      <c r="C1067" s="5">
        <v>0.74027777777777781</v>
      </c>
    </row>
    <row r="1068" spans="3:3" x14ac:dyDescent="0.25">
      <c r="C1068" s="5">
        <v>0.74097222222222225</v>
      </c>
    </row>
    <row r="1069" spans="3:3" x14ac:dyDescent="0.25">
      <c r="C1069" s="5">
        <v>0.7416666666666667</v>
      </c>
    </row>
    <row r="1070" spans="3:3" x14ac:dyDescent="0.25">
      <c r="C1070" s="5">
        <v>0.74236111111111114</v>
      </c>
    </row>
    <row r="1071" spans="3:3" x14ac:dyDescent="0.25">
      <c r="C1071" s="5">
        <v>0.74305555555555558</v>
      </c>
    </row>
    <row r="1072" spans="3:3" x14ac:dyDescent="0.25">
      <c r="C1072" s="5">
        <v>0.74375000000000002</v>
      </c>
    </row>
    <row r="1073" spans="3:3" x14ac:dyDescent="0.25">
      <c r="C1073" s="5">
        <v>0.74444444444444446</v>
      </c>
    </row>
    <row r="1074" spans="3:3" x14ac:dyDescent="0.25">
      <c r="C1074" s="5">
        <v>0.74513888888888891</v>
      </c>
    </row>
    <row r="1075" spans="3:3" x14ac:dyDescent="0.25">
      <c r="C1075" s="5">
        <v>0.74583333333333335</v>
      </c>
    </row>
    <row r="1076" spans="3:3" x14ac:dyDescent="0.25">
      <c r="C1076" s="5">
        <v>0.74652777777777779</v>
      </c>
    </row>
    <row r="1077" spans="3:3" x14ac:dyDescent="0.25">
      <c r="C1077" s="5">
        <v>0.74722222222222223</v>
      </c>
    </row>
    <row r="1078" spans="3:3" x14ac:dyDescent="0.25">
      <c r="C1078" s="5">
        <v>0.74791666666666667</v>
      </c>
    </row>
    <row r="1079" spans="3:3" x14ac:dyDescent="0.25">
      <c r="C1079" s="5">
        <v>0.74861111111111112</v>
      </c>
    </row>
    <row r="1080" spans="3:3" x14ac:dyDescent="0.25">
      <c r="C1080" s="5">
        <v>0.74930555555555556</v>
      </c>
    </row>
    <row r="1081" spans="3:3" x14ac:dyDescent="0.25">
      <c r="C1081" s="5">
        <v>0.75</v>
      </c>
    </row>
    <row r="1082" spans="3:3" x14ac:dyDescent="0.25">
      <c r="C1082" s="5">
        <v>0.75069444444444444</v>
      </c>
    </row>
    <row r="1083" spans="3:3" x14ac:dyDescent="0.25">
      <c r="C1083" s="5">
        <v>0.75138888888888888</v>
      </c>
    </row>
    <row r="1084" spans="3:3" x14ac:dyDescent="0.25">
      <c r="C1084" s="5">
        <v>0.75208333333333333</v>
      </c>
    </row>
    <row r="1085" spans="3:3" x14ac:dyDescent="0.25">
      <c r="C1085" s="5">
        <v>0.75277777777777777</v>
      </c>
    </row>
    <row r="1086" spans="3:3" x14ac:dyDescent="0.25">
      <c r="C1086" s="5">
        <v>0.75347222222222221</v>
      </c>
    </row>
    <row r="1087" spans="3:3" x14ac:dyDescent="0.25">
      <c r="C1087" s="5">
        <v>0.75416666666666665</v>
      </c>
    </row>
    <row r="1088" spans="3:3" x14ac:dyDescent="0.25">
      <c r="C1088" s="5">
        <v>0.75486111111111109</v>
      </c>
    </row>
    <row r="1089" spans="3:3" x14ac:dyDescent="0.25">
      <c r="C1089" s="5">
        <v>0.75555555555555554</v>
      </c>
    </row>
    <row r="1090" spans="3:3" x14ac:dyDescent="0.25">
      <c r="C1090" s="5">
        <v>0.75624999999999998</v>
      </c>
    </row>
    <row r="1091" spans="3:3" x14ac:dyDescent="0.25">
      <c r="C1091" s="5">
        <v>0.75694444444444442</v>
      </c>
    </row>
    <row r="1092" spans="3:3" x14ac:dyDescent="0.25">
      <c r="C1092" s="5">
        <v>0.75763888888888886</v>
      </c>
    </row>
    <row r="1093" spans="3:3" x14ac:dyDescent="0.25">
      <c r="C1093" s="5">
        <v>0.7583333333333333</v>
      </c>
    </row>
    <row r="1094" spans="3:3" x14ac:dyDescent="0.25">
      <c r="C1094" s="5">
        <v>0.75902777777777775</v>
      </c>
    </row>
    <row r="1095" spans="3:3" x14ac:dyDescent="0.25">
      <c r="C1095" s="5">
        <v>0.75972222222222219</v>
      </c>
    </row>
    <row r="1096" spans="3:3" x14ac:dyDescent="0.25">
      <c r="C1096" s="5">
        <v>0.76041666666666663</v>
      </c>
    </row>
    <row r="1097" spans="3:3" x14ac:dyDescent="0.25">
      <c r="C1097" s="5">
        <v>0.76111111111111107</v>
      </c>
    </row>
    <row r="1098" spans="3:3" x14ac:dyDescent="0.25">
      <c r="C1098" s="5">
        <v>0.76180555555555551</v>
      </c>
    </row>
    <row r="1099" spans="3:3" x14ac:dyDescent="0.25">
      <c r="C1099" s="5">
        <v>0.76249999999999996</v>
      </c>
    </row>
    <row r="1100" spans="3:3" x14ac:dyDescent="0.25">
      <c r="C1100" s="5">
        <v>0.7631944444444444</v>
      </c>
    </row>
    <row r="1101" spans="3:3" x14ac:dyDescent="0.25">
      <c r="C1101" s="5">
        <v>0.76388888888888884</v>
      </c>
    </row>
    <row r="1102" spans="3:3" x14ac:dyDescent="0.25">
      <c r="C1102" s="5">
        <v>0.76458333333333328</v>
      </c>
    </row>
    <row r="1103" spans="3:3" x14ac:dyDescent="0.25">
      <c r="C1103" s="5">
        <v>0.76527777777777772</v>
      </c>
    </row>
    <row r="1104" spans="3:3" x14ac:dyDescent="0.25">
      <c r="C1104" s="5">
        <v>0.76597222222222228</v>
      </c>
    </row>
    <row r="1105" spans="3:3" x14ac:dyDescent="0.25">
      <c r="C1105" s="5">
        <v>0.76666666666666672</v>
      </c>
    </row>
    <row r="1106" spans="3:3" x14ac:dyDescent="0.25">
      <c r="C1106" s="5">
        <v>0.76736111111111116</v>
      </c>
    </row>
    <row r="1107" spans="3:3" x14ac:dyDescent="0.25">
      <c r="C1107" s="5">
        <v>0.7680555555555556</v>
      </c>
    </row>
    <row r="1108" spans="3:3" x14ac:dyDescent="0.25">
      <c r="C1108" s="5">
        <v>0.76875000000000004</v>
      </c>
    </row>
    <row r="1109" spans="3:3" x14ac:dyDescent="0.25">
      <c r="C1109" s="5">
        <v>0.76944444444444449</v>
      </c>
    </row>
    <row r="1110" spans="3:3" x14ac:dyDescent="0.25">
      <c r="C1110" s="5">
        <v>0.77013888888888893</v>
      </c>
    </row>
    <row r="1111" spans="3:3" x14ac:dyDescent="0.25">
      <c r="C1111" s="5">
        <v>0.77083333333333337</v>
      </c>
    </row>
    <row r="1112" spans="3:3" x14ac:dyDescent="0.25">
      <c r="C1112" s="5">
        <v>0.77152777777777781</v>
      </c>
    </row>
    <row r="1113" spans="3:3" x14ac:dyDescent="0.25">
      <c r="C1113" s="5">
        <v>0.77222222222222225</v>
      </c>
    </row>
    <row r="1114" spans="3:3" x14ac:dyDescent="0.25">
      <c r="C1114" s="5">
        <v>0.7729166666666667</v>
      </c>
    </row>
    <row r="1115" spans="3:3" x14ac:dyDescent="0.25">
      <c r="C1115" s="5">
        <v>0.77361111111111114</v>
      </c>
    </row>
    <row r="1116" spans="3:3" x14ac:dyDescent="0.25">
      <c r="C1116" s="5">
        <v>0.77430555555555558</v>
      </c>
    </row>
    <row r="1117" spans="3:3" x14ac:dyDescent="0.25">
      <c r="C1117" s="5">
        <v>0.77500000000000002</v>
      </c>
    </row>
    <row r="1118" spans="3:3" x14ac:dyDescent="0.25">
      <c r="C1118" s="5">
        <v>0.77569444444444446</v>
      </c>
    </row>
    <row r="1119" spans="3:3" x14ac:dyDescent="0.25">
      <c r="C1119" s="5">
        <v>0.77638888888888891</v>
      </c>
    </row>
    <row r="1120" spans="3:3" x14ac:dyDescent="0.25">
      <c r="C1120" s="5">
        <v>0.77708333333333335</v>
      </c>
    </row>
    <row r="1121" spans="3:3" x14ac:dyDescent="0.25">
      <c r="C1121" s="5">
        <v>0.77777777777777779</v>
      </c>
    </row>
    <row r="1122" spans="3:3" x14ac:dyDescent="0.25">
      <c r="C1122" s="5">
        <v>0.77847222222222223</v>
      </c>
    </row>
    <row r="1123" spans="3:3" x14ac:dyDescent="0.25">
      <c r="C1123" s="5">
        <v>0.77916666666666667</v>
      </c>
    </row>
    <row r="1124" spans="3:3" x14ac:dyDescent="0.25">
      <c r="C1124" s="5">
        <v>0.77986111111111112</v>
      </c>
    </row>
    <row r="1125" spans="3:3" x14ac:dyDescent="0.25">
      <c r="C1125" s="5">
        <v>0.78055555555555556</v>
      </c>
    </row>
    <row r="1126" spans="3:3" x14ac:dyDescent="0.25">
      <c r="C1126" s="5">
        <v>0.78125</v>
      </c>
    </row>
    <row r="1127" spans="3:3" x14ac:dyDescent="0.25">
      <c r="C1127" s="5">
        <v>0.78194444444444444</v>
      </c>
    </row>
    <row r="1128" spans="3:3" x14ac:dyDescent="0.25">
      <c r="C1128" s="5">
        <v>0.78263888888888888</v>
      </c>
    </row>
    <row r="1129" spans="3:3" x14ac:dyDescent="0.25">
      <c r="C1129" s="5">
        <v>0.78333333333333333</v>
      </c>
    </row>
    <row r="1130" spans="3:3" x14ac:dyDescent="0.25">
      <c r="C1130" s="5">
        <v>0.78402777777777777</v>
      </c>
    </row>
    <row r="1131" spans="3:3" x14ac:dyDescent="0.25">
      <c r="C1131" s="5">
        <v>0.78472222222222221</v>
      </c>
    </row>
    <row r="1132" spans="3:3" x14ac:dyDescent="0.25">
      <c r="C1132" s="5">
        <v>0.78541666666666665</v>
      </c>
    </row>
    <row r="1133" spans="3:3" x14ac:dyDescent="0.25">
      <c r="C1133" s="5">
        <v>0.78611111111111109</v>
      </c>
    </row>
    <row r="1134" spans="3:3" x14ac:dyDescent="0.25">
      <c r="C1134" s="5">
        <v>0.78680555555555554</v>
      </c>
    </row>
    <row r="1135" spans="3:3" x14ac:dyDescent="0.25">
      <c r="C1135" s="5">
        <v>0.78749999999999998</v>
      </c>
    </row>
    <row r="1136" spans="3:3" x14ac:dyDescent="0.25">
      <c r="C1136" s="5">
        <v>0.78819444444444442</v>
      </c>
    </row>
    <row r="1137" spans="3:3" x14ac:dyDescent="0.25">
      <c r="C1137" s="5">
        <v>0.78888888888888886</v>
      </c>
    </row>
    <row r="1138" spans="3:3" x14ac:dyDescent="0.25">
      <c r="C1138" s="5">
        <v>0.7895833333333333</v>
      </c>
    </row>
    <row r="1139" spans="3:3" x14ac:dyDescent="0.25">
      <c r="C1139" s="5">
        <v>0.79027777777777775</v>
      </c>
    </row>
    <row r="1140" spans="3:3" x14ac:dyDescent="0.25">
      <c r="C1140" s="5">
        <v>0.79097222222222219</v>
      </c>
    </row>
    <row r="1141" spans="3:3" x14ac:dyDescent="0.25">
      <c r="C1141" s="5">
        <v>0.79166666666666663</v>
      </c>
    </row>
    <row r="1142" spans="3:3" x14ac:dyDescent="0.25">
      <c r="C1142" s="5">
        <v>0.79236111111111107</v>
      </c>
    </row>
    <row r="1143" spans="3:3" x14ac:dyDescent="0.25">
      <c r="C1143" s="5">
        <v>0.79305555555555551</v>
      </c>
    </row>
    <row r="1144" spans="3:3" x14ac:dyDescent="0.25">
      <c r="C1144" s="5">
        <v>0.79374999999999996</v>
      </c>
    </row>
    <row r="1145" spans="3:3" x14ac:dyDescent="0.25">
      <c r="C1145" s="5">
        <v>0.7944444444444444</v>
      </c>
    </row>
    <row r="1146" spans="3:3" x14ac:dyDescent="0.25">
      <c r="C1146" s="5">
        <v>0.79513888888888884</v>
      </c>
    </row>
    <row r="1147" spans="3:3" x14ac:dyDescent="0.25">
      <c r="C1147" s="5">
        <v>0.79583333333333328</v>
      </c>
    </row>
    <row r="1148" spans="3:3" x14ac:dyDescent="0.25">
      <c r="C1148" s="5">
        <v>0.79652777777777772</v>
      </c>
    </row>
    <row r="1149" spans="3:3" x14ac:dyDescent="0.25">
      <c r="C1149" s="5">
        <v>0.79722222222222228</v>
      </c>
    </row>
    <row r="1150" spans="3:3" x14ac:dyDescent="0.25">
      <c r="C1150" s="5">
        <v>0.79791666666666672</v>
      </c>
    </row>
    <row r="1151" spans="3:3" x14ac:dyDescent="0.25">
      <c r="C1151" s="5">
        <v>0.79861111111111116</v>
      </c>
    </row>
    <row r="1152" spans="3:3" x14ac:dyDescent="0.25">
      <c r="C1152" s="5">
        <v>0.7993055555555556</v>
      </c>
    </row>
    <row r="1153" spans="3:3" x14ac:dyDescent="0.25">
      <c r="C1153" s="5">
        <v>0.8</v>
      </c>
    </row>
    <row r="1154" spans="3:3" x14ac:dyDescent="0.25">
      <c r="C1154" s="5">
        <v>0.80069444444444449</v>
      </c>
    </row>
    <row r="1155" spans="3:3" x14ac:dyDescent="0.25">
      <c r="C1155" s="5">
        <v>0.80138888888888893</v>
      </c>
    </row>
    <row r="1156" spans="3:3" x14ac:dyDescent="0.25">
      <c r="C1156" s="5">
        <v>0.80208333333333337</v>
      </c>
    </row>
    <row r="1157" spans="3:3" x14ac:dyDescent="0.25">
      <c r="C1157" s="5">
        <v>0.80277777777777781</v>
      </c>
    </row>
    <row r="1158" spans="3:3" x14ac:dyDescent="0.25">
      <c r="C1158" s="5">
        <v>0.80347222222222225</v>
      </c>
    </row>
    <row r="1159" spans="3:3" x14ac:dyDescent="0.25">
      <c r="C1159" s="5">
        <v>0.8041666666666667</v>
      </c>
    </row>
    <row r="1160" spans="3:3" x14ac:dyDescent="0.25">
      <c r="C1160" s="5">
        <v>0.80486111111111114</v>
      </c>
    </row>
    <row r="1161" spans="3:3" x14ac:dyDescent="0.25">
      <c r="C1161" s="5">
        <v>0.80555555555555558</v>
      </c>
    </row>
    <row r="1162" spans="3:3" x14ac:dyDescent="0.25">
      <c r="C1162" s="5">
        <v>0.80625000000000002</v>
      </c>
    </row>
    <row r="1163" spans="3:3" x14ac:dyDescent="0.25">
      <c r="C1163" s="5">
        <v>0.80694444444444446</v>
      </c>
    </row>
    <row r="1164" spans="3:3" x14ac:dyDescent="0.25">
      <c r="C1164" s="5">
        <v>0.80763888888888891</v>
      </c>
    </row>
    <row r="1165" spans="3:3" x14ac:dyDescent="0.25">
      <c r="C1165" s="5">
        <v>0.80833333333333335</v>
      </c>
    </row>
    <row r="1166" spans="3:3" x14ac:dyDescent="0.25">
      <c r="C1166" s="5">
        <v>0.80902777777777779</v>
      </c>
    </row>
    <row r="1167" spans="3:3" x14ac:dyDescent="0.25">
      <c r="C1167" s="5">
        <v>0.80972222222222223</v>
      </c>
    </row>
    <row r="1168" spans="3:3" x14ac:dyDescent="0.25">
      <c r="C1168" s="5">
        <v>0.81041666666666667</v>
      </c>
    </row>
    <row r="1169" spans="3:3" x14ac:dyDescent="0.25">
      <c r="C1169" s="5">
        <v>0.81111111111111112</v>
      </c>
    </row>
    <row r="1170" spans="3:3" x14ac:dyDescent="0.25">
      <c r="C1170" s="5">
        <v>0.81180555555555556</v>
      </c>
    </row>
    <row r="1171" spans="3:3" x14ac:dyDescent="0.25">
      <c r="C1171" s="5">
        <v>0.8125</v>
      </c>
    </row>
    <row r="1172" spans="3:3" x14ac:dyDescent="0.25">
      <c r="C1172" s="5">
        <v>0.81319444444444444</v>
      </c>
    </row>
    <row r="1173" spans="3:3" x14ac:dyDescent="0.25">
      <c r="C1173" s="5">
        <v>0.81388888888888888</v>
      </c>
    </row>
    <row r="1174" spans="3:3" x14ac:dyDescent="0.25">
      <c r="C1174" s="5">
        <v>0.81458333333333333</v>
      </c>
    </row>
    <row r="1175" spans="3:3" x14ac:dyDescent="0.25">
      <c r="C1175" s="5">
        <v>0.81527777777777777</v>
      </c>
    </row>
    <row r="1176" spans="3:3" x14ac:dyDescent="0.25">
      <c r="C1176" s="5">
        <v>0.81597222222222221</v>
      </c>
    </row>
    <row r="1177" spans="3:3" x14ac:dyDescent="0.25">
      <c r="C1177" s="5">
        <v>0.81666666666666665</v>
      </c>
    </row>
    <row r="1178" spans="3:3" x14ac:dyDescent="0.25">
      <c r="C1178" s="5">
        <v>0.81736111111111109</v>
      </c>
    </row>
    <row r="1179" spans="3:3" x14ac:dyDescent="0.25">
      <c r="C1179" s="5">
        <v>0.81805555555555554</v>
      </c>
    </row>
    <row r="1180" spans="3:3" x14ac:dyDescent="0.25">
      <c r="C1180" s="5">
        <v>0.81874999999999998</v>
      </c>
    </row>
    <row r="1181" spans="3:3" x14ac:dyDescent="0.25">
      <c r="C1181" s="5">
        <v>0.81944444444444442</v>
      </c>
    </row>
    <row r="1182" spans="3:3" x14ac:dyDescent="0.25">
      <c r="C1182" s="5">
        <v>0.82013888888888886</v>
      </c>
    </row>
    <row r="1183" spans="3:3" x14ac:dyDescent="0.25">
      <c r="C1183" s="5">
        <v>0.8208333333333333</v>
      </c>
    </row>
    <row r="1184" spans="3:3" x14ac:dyDescent="0.25">
      <c r="C1184" s="5">
        <v>0.82152777777777775</v>
      </c>
    </row>
    <row r="1185" spans="3:3" x14ac:dyDescent="0.25">
      <c r="C1185" s="5">
        <v>0.82222222222222219</v>
      </c>
    </row>
    <row r="1186" spans="3:3" x14ac:dyDescent="0.25">
      <c r="C1186" s="5">
        <v>0.82291666666666663</v>
      </c>
    </row>
    <row r="1187" spans="3:3" x14ac:dyDescent="0.25">
      <c r="C1187" s="5">
        <v>0.82361111111111107</v>
      </c>
    </row>
    <row r="1188" spans="3:3" x14ac:dyDescent="0.25">
      <c r="C1188" s="5">
        <v>0.82430555555555551</v>
      </c>
    </row>
    <row r="1189" spans="3:3" x14ac:dyDescent="0.25">
      <c r="C1189" s="5">
        <v>0.82499999999999996</v>
      </c>
    </row>
    <row r="1190" spans="3:3" x14ac:dyDescent="0.25">
      <c r="C1190" s="5">
        <v>0.8256944444444444</v>
      </c>
    </row>
    <row r="1191" spans="3:3" x14ac:dyDescent="0.25">
      <c r="C1191" s="5">
        <v>0.82638888888888884</v>
      </c>
    </row>
    <row r="1192" spans="3:3" x14ac:dyDescent="0.25">
      <c r="C1192" s="5">
        <v>0.82708333333333328</v>
      </c>
    </row>
    <row r="1193" spans="3:3" x14ac:dyDescent="0.25">
      <c r="C1193" s="5">
        <v>0.82777777777777772</v>
      </c>
    </row>
    <row r="1194" spans="3:3" x14ac:dyDescent="0.25">
      <c r="C1194" s="5">
        <v>0.82847222222222228</v>
      </c>
    </row>
    <row r="1195" spans="3:3" x14ac:dyDescent="0.25">
      <c r="C1195" s="5">
        <v>0.82916666666666672</v>
      </c>
    </row>
    <row r="1196" spans="3:3" x14ac:dyDescent="0.25">
      <c r="C1196" s="5">
        <v>0.82986111111111116</v>
      </c>
    </row>
    <row r="1197" spans="3:3" x14ac:dyDescent="0.25">
      <c r="C1197" s="5">
        <v>0.8305555555555556</v>
      </c>
    </row>
    <row r="1198" spans="3:3" x14ac:dyDescent="0.25">
      <c r="C1198" s="5">
        <v>0.83125000000000004</v>
      </c>
    </row>
    <row r="1199" spans="3:3" x14ac:dyDescent="0.25">
      <c r="C1199" s="5">
        <v>0.83194444444444449</v>
      </c>
    </row>
    <row r="1200" spans="3:3" x14ac:dyDescent="0.25">
      <c r="C1200" s="5">
        <v>0.83263888888888893</v>
      </c>
    </row>
    <row r="1201" spans="3:3" x14ac:dyDescent="0.25">
      <c r="C1201" s="5">
        <v>0.83333333333333337</v>
      </c>
    </row>
    <row r="1202" spans="3:3" x14ac:dyDescent="0.25">
      <c r="C1202" s="5">
        <v>0.83402777777777781</v>
      </c>
    </row>
    <row r="1203" spans="3:3" x14ac:dyDescent="0.25">
      <c r="C1203" s="5">
        <v>0.83472222222222225</v>
      </c>
    </row>
    <row r="1204" spans="3:3" x14ac:dyDescent="0.25">
      <c r="C1204" s="5">
        <v>0.8354166666666667</v>
      </c>
    </row>
    <row r="1205" spans="3:3" x14ac:dyDescent="0.25">
      <c r="C1205" s="5">
        <v>0.83611111111111114</v>
      </c>
    </row>
    <row r="1206" spans="3:3" x14ac:dyDescent="0.25">
      <c r="C1206" s="5">
        <v>0.83680555555555558</v>
      </c>
    </row>
    <row r="1207" spans="3:3" x14ac:dyDescent="0.25">
      <c r="C1207" s="5">
        <v>0.83750000000000002</v>
      </c>
    </row>
    <row r="1208" spans="3:3" x14ac:dyDescent="0.25">
      <c r="C1208" s="5">
        <v>0.83819444444444446</v>
      </c>
    </row>
    <row r="1209" spans="3:3" x14ac:dyDescent="0.25">
      <c r="C1209" s="5">
        <v>0.83888888888888891</v>
      </c>
    </row>
    <row r="1210" spans="3:3" x14ac:dyDescent="0.25">
      <c r="C1210" s="5">
        <v>0.83958333333333335</v>
      </c>
    </row>
    <row r="1211" spans="3:3" x14ac:dyDescent="0.25">
      <c r="C1211" s="5">
        <v>0.84027777777777779</v>
      </c>
    </row>
    <row r="1212" spans="3:3" x14ac:dyDescent="0.25">
      <c r="C1212" s="5">
        <v>0.84097222222222223</v>
      </c>
    </row>
    <row r="1213" spans="3:3" x14ac:dyDescent="0.25">
      <c r="C1213" s="5">
        <v>0.84166666666666667</v>
      </c>
    </row>
    <row r="1214" spans="3:3" x14ac:dyDescent="0.25">
      <c r="C1214" s="5">
        <v>0.84236111111111112</v>
      </c>
    </row>
    <row r="1215" spans="3:3" x14ac:dyDescent="0.25">
      <c r="C1215" s="5">
        <v>0.84305555555555556</v>
      </c>
    </row>
    <row r="1216" spans="3:3" x14ac:dyDescent="0.25">
      <c r="C1216" s="5">
        <v>0.84375</v>
      </c>
    </row>
    <row r="1217" spans="3:3" x14ac:dyDescent="0.25">
      <c r="C1217" s="5">
        <v>0.84444444444444444</v>
      </c>
    </row>
    <row r="1218" spans="3:3" x14ac:dyDescent="0.25">
      <c r="C1218" s="5">
        <v>0.84513888888888888</v>
      </c>
    </row>
    <row r="1219" spans="3:3" x14ac:dyDescent="0.25">
      <c r="C1219" s="5">
        <v>0.84583333333333333</v>
      </c>
    </row>
    <row r="1220" spans="3:3" x14ac:dyDescent="0.25">
      <c r="C1220" s="5">
        <v>0.84652777777777777</v>
      </c>
    </row>
    <row r="1221" spans="3:3" x14ac:dyDescent="0.25">
      <c r="C1221" s="5">
        <v>0.84722222222222221</v>
      </c>
    </row>
    <row r="1222" spans="3:3" x14ac:dyDescent="0.25">
      <c r="C1222" s="5">
        <v>0.84791666666666665</v>
      </c>
    </row>
    <row r="1223" spans="3:3" x14ac:dyDescent="0.25">
      <c r="C1223" s="5">
        <v>0.84861111111111109</v>
      </c>
    </row>
    <row r="1224" spans="3:3" x14ac:dyDescent="0.25">
      <c r="C1224" s="5">
        <v>0.84930555555555554</v>
      </c>
    </row>
    <row r="1225" spans="3:3" x14ac:dyDescent="0.25">
      <c r="C1225" s="5">
        <v>0.85</v>
      </c>
    </row>
    <row r="1226" spans="3:3" x14ac:dyDescent="0.25">
      <c r="C1226" s="5">
        <v>0.85069444444444442</v>
      </c>
    </row>
    <row r="1227" spans="3:3" x14ac:dyDescent="0.25">
      <c r="C1227" s="5">
        <v>0.85138888888888886</v>
      </c>
    </row>
    <row r="1228" spans="3:3" x14ac:dyDescent="0.25">
      <c r="C1228" s="5">
        <v>0.8520833333333333</v>
      </c>
    </row>
    <row r="1229" spans="3:3" x14ac:dyDescent="0.25">
      <c r="C1229" s="5">
        <v>0.85277777777777775</v>
      </c>
    </row>
    <row r="1230" spans="3:3" x14ac:dyDescent="0.25">
      <c r="C1230" s="5">
        <v>0.85347222222222219</v>
      </c>
    </row>
    <row r="1231" spans="3:3" x14ac:dyDescent="0.25">
      <c r="C1231" s="5">
        <v>0.85416666666666663</v>
      </c>
    </row>
    <row r="1232" spans="3:3" x14ac:dyDescent="0.25">
      <c r="C1232" s="5">
        <v>0.85486111111111107</v>
      </c>
    </row>
    <row r="1233" spans="3:3" x14ac:dyDescent="0.25">
      <c r="C1233" s="5">
        <v>0.85555555555555551</v>
      </c>
    </row>
    <row r="1234" spans="3:3" x14ac:dyDescent="0.25">
      <c r="C1234" s="5">
        <v>0.85624999999999996</v>
      </c>
    </row>
    <row r="1235" spans="3:3" x14ac:dyDescent="0.25">
      <c r="C1235" s="5">
        <v>0.8569444444444444</v>
      </c>
    </row>
    <row r="1236" spans="3:3" x14ac:dyDescent="0.25">
      <c r="C1236" s="5">
        <v>0.85763888888888884</v>
      </c>
    </row>
    <row r="1237" spans="3:3" x14ac:dyDescent="0.25">
      <c r="C1237" s="5">
        <v>0.85833333333333328</v>
      </c>
    </row>
    <row r="1238" spans="3:3" x14ac:dyDescent="0.25">
      <c r="C1238" s="5">
        <v>0.85902777777777772</v>
      </c>
    </row>
    <row r="1239" spans="3:3" x14ac:dyDescent="0.25">
      <c r="C1239" s="5">
        <v>0.85972222222222228</v>
      </c>
    </row>
    <row r="1240" spans="3:3" x14ac:dyDescent="0.25">
      <c r="C1240" s="5">
        <v>0.86041666666666672</v>
      </c>
    </row>
    <row r="1241" spans="3:3" x14ac:dyDescent="0.25">
      <c r="C1241" s="5">
        <v>0.86111111111111116</v>
      </c>
    </row>
    <row r="1242" spans="3:3" x14ac:dyDescent="0.25">
      <c r="C1242" s="5">
        <v>0.8618055555555556</v>
      </c>
    </row>
    <row r="1243" spans="3:3" x14ac:dyDescent="0.25">
      <c r="C1243" s="5">
        <v>0.86250000000000004</v>
      </c>
    </row>
    <row r="1244" spans="3:3" x14ac:dyDescent="0.25">
      <c r="C1244" s="5">
        <v>0.86319444444444449</v>
      </c>
    </row>
    <row r="1245" spans="3:3" x14ac:dyDescent="0.25">
      <c r="C1245" s="5">
        <v>0.86388888888888893</v>
      </c>
    </row>
    <row r="1246" spans="3:3" x14ac:dyDescent="0.25">
      <c r="C1246" s="5">
        <v>0.86458333333333337</v>
      </c>
    </row>
    <row r="1247" spans="3:3" x14ac:dyDescent="0.25">
      <c r="C1247" s="5">
        <v>0.86527777777777781</v>
      </c>
    </row>
    <row r="1248" spans="3:3" x14ac:dyDescent="0.25">
      <c r="C1248" s="5">
        <v>0.86597222222222225</v>
      </c>
    </row>
    <row r="1249" spans="3:3" x14ac:dyDescent="0.25">
      <c r="C1249" s="5">
        <v>0.8666666666666667</v>
      </c>
    </row>
    <row r="1250" spans="3:3" x14ac:dyDescent="0.25">
      <c r="C1250" s="5">
        <v>0.86736111111111114</v>
      </c>
    </row>
    <row r="1251" spans="3:3" x14ac:dyDescent="0.25">
      <c r="C1251" s="5">
        <v>0.86805555555555558</v>
      </c>
    </row>
    <row r="1252" spans="3:3" x14ac:dyDescent="0.25">
      <c r="C1252" s="5">
        <v>0.86875000000000002</v>
      </c>
    </row>
    <row r="1253" spans="3:3" x14ac:dyDescent="0.25">
      <c r="C1253" s="5">
        <v>0.86944444444444446</v>
      </c>
    </row>
    <row r="1254" spans="3:3" x14ac:dyDescent="0.25">
      <c r="C1254" s="5">
        <v>0.87013888888888891</v>
      </c>
    </row>
    <row r="1255" spans="3:3" x14ac:dyDescent="0.25">
      <c r="C1255" s="5">
        <v>0.87083333333333335</v>
      </c>
    </row>
    <row r="1256" spans="3:3" x14ac:dyDescent="0.25">
      <c r="C1256" s="5">
        <v>0.87152777777777779</v>
      </c>
    </row>
    <row r="1257" spans="3:3" x14ac:dyDescent="0.25">
      <c r="C1257" s="5">
        <v>0.87222222222222223</v>
      </c>
    </row>
    <row r="1258" spans="3:3" x14ac:dyDescent="0.25">
      <c r="C1258" s="5">
        <v>0.87291666666666667</v>
      </c>
    </row>
    <row r="1259" spans="3:3" x14ac:dyDescent="0.25">
      <c r="C1259" s="5">
        <v>0.87361111111111112</v>
      </c>
    </row>
    <row r="1260" spans="3:3" x14ac:dyDescent="0.25">
      <c r="C1260" s="5">
        <v>0.87430555555555556</v>
      </c>
    </row>
    <row r="1261" spans="3:3" x14ac:dyDescent="0.25">
      <c r="C1261" s="5">
        <v>0.875</v>
      </c>
    </row>
    <row r="1262" spans="3:3" x14ac:dyDescent="0.25">
      <c r="C1262" s="5">
        <v>0.87569444444444444</v>
      </c>
    </row>
    <row r="1263" spans="3:3" x14ac:dyDescent="0.25">
      <c r="C1263" s="5">
        <v>0.87638888888888888</v>
      </c>
    </row>
    <row r="1264" spans="3:3" x14ac:dyDescent="0.25">
      <c r="C1264" s="5">
        <v>0.87708333333333333</v>
      </c>
    </row>
    <row r="1265" spans="3:3" x14ac:dyDescent="0.25">
      <c r="C1265" s="5">
        <v>0.87777777777777777</v>
      </c>
    </row>
    <row r="1266" spans="3:3" x14ac:dyDescent="0.25">
      <c r="C1266" s="5">
        <v>0.87847222222222221</v>
      </c>
    </row>
    <row r="1267" spans="3:3" x14ac:dyDescent="0.25">
      <c r="C1267" s="5">
        <v>0.87916666666666665</v>
      </c>
    </row>
    <row r="1268" spans="3:3" x14ac:dyDescent="0.25">
      <c r="C1268" s="5">
        <v>0.87986111111111109</v>
      </c>
    </row>
    <row r="1269" spans="3:3" x14ac:dyDescent="0.25">
      <c r="C1269" s="5">
        <v>0.88055555555555554</v>
      </c>
    </row>
    <row r="1270" spans="3:3" x14ac:dyDescent="0.25">
      <c r="C1270" s="5">
        <v>0.88124999999999998</v>
      </c>
    </row>
    <row r="1271" spans="3:3" x14ac:dyDescent="0.25">
      <c r="C1271" s="5">
        <v>0.88194444444444442</v>
      </c>
    </row>
    <row r="1272" spans="3:3" x14ac:dyDescent="0.25">
      <c r="C1272" s="5">
        <v>0.88263888888888886</v>
      </c>
    </row>
    <row r="1273" spans="3:3" x14ac:dyDescent="0.25">
      <c r="C1273" s="5">
        <v>0.8833333333333333</v>
      </c>
    </row>
    <row r="1274" spans="3:3" x14ac:dyDescent="0.25">
      <c r="C1274" s="5">
        <v>0.88402777777777775</v>
      </c>
    </row>
    <row r="1275" spans="3:3" x14ac:dyDescent="0.25">
      <c r="C1275" s="5">
        <v>0.88472222222222219</v>
      </c>
    </row>
    <row r="1276" spans="3:3" x14ac:dyDescent="0.25">
      <c r="C1276" s="5">
        <v>0.88541666666666663</v>
      </c>
    </row>
    <row r="1277" spans="3:3" x14ac:dyDescent="0.25">
      <c r="C1277" s="5">
        <v>0.88611111111111107</v>
      </c>
    </row>
    <row r="1278" spans="3:3" x14ac:dyDescent="0.25">
      <c r="C1278" s="5">
        <v>0.88680555555555551</v>
      </c>
    </row>
    <row r="1279" spans="3:3" x14ac:dyDescent="0.25">
      <c r="C1279" s="5">
        <v>0.88749999999999996</v>
      </c>
    </row>
    <row r="1280" spans="3:3" x14ac:dyDescent="0.25">
      <c r="C1280" s="5">
        <v>0.8881944444444444</v>
      </c>
    </row>
    <row r="1281" spans="3:3" x14ac:dyDescent="0.25">
      <c r="C1281" s="5">
        <v>0.88888888888888884</v>
      </c>
    </row>
    <row r="1282" spans="3:3" x14ac:dyDescent="0.25">
      <c r="C1282" s="5">
        <v>0.88958333333333328</v>
      </c>
    </row>
    <row r="1283" spans="3:3" x14ac:dyDescent="0.25">
      <c r="C1283" s="5">
        <v>0.89027777777777772</v>
      </c>
    </row>
    <row r="1284" spans="3:3" x14ac:dyDescent="0.25">
      <c r="C1284" s="5">
        <v>0.89097222222222228</v>
      </c>
    </row>
    <row r="1285" spans="3:3" x14ac:dyDescent="0.25">
      <c r="C1285" s="5">
        <v>0.89166666666666672</v>
      </c>
    </row>
    <row r="1286" spans="3:3" x14ac:dyDescent="0.25">
      <c r="C1286" s="5">
        <v>0.89236111111111116</v>
      </c>
    </row>
    <row r="1287" spans="3:3" x14ac:dyDescent="0.25">
      <c r="C1287" s="5">
        <v>0.8930555555555556</v>
      </c>
    </row>
    <row r="1288" spans="3:3" x14ac:dyDescent="0.25">
      <c r="C1288" s="5">
        <v>0.89375000000000004</v>
      </c>
    </row>
    <row r="1289" spans="3:3" x14ac:dyDescent="0.25">
      <c r="C1289" s="5">
        <v>0.89444444444444449</v>
      </c>
    </row>
    <row r="1290" spans="3:3" x14ac:dyDescent="0.25">
      <c r="C1290" s="5">
        <v>0.89513888888888893</v>
      </c>
    </row>
    <row r="1291" spans="3:3" x14ac:dyDescent="0.25">
      <c r="C1291" s="5">
        <v>0.89583333333333337</v>
      </c>
    </row>
    <row r="1292" spans="3:3" x14ac:dyDescent="0.25">
      <c r="C1292" s="5">
        <v>0.89652777777777781</v>
      </c>
    </row>
    <row r="1293" spans="3:3" x14ac:dyDescent="0.25">
      <c r="C1293" s="5">
        <v>0.89722222222222225</v>
      </c>
    </row>
    <row r="1294" spans="3:3" x14ac:dyDescent="0.25">
      <c r="C1294" s="5">
        <v>0.8979166666666667</v>
      </c>
    </row>
    <row r="1295" spans="3:3" x14ac:dyDescent="0.25">
      <c r="C1295" s="5">
        <v>0.89861111111111114</v>
      </c>
    </row>
    <row r="1296" spans="3:3" x14ac:dyDescent="0.25">
      <c r="C1296" s="5">
        <v>0.89930555555555558</v>
      </c>
    </row>
    <row r="1297" spans="3:3" x14ac:dyDescent="0.25">
      <c r="C1297" s="5">
        <v>0.9</v>
      </c>
    </row>
    <row r="1298" spans="3:3" x14ac:dyDescent="0.25">
      <c r="C1298" s="5">
        <v>0.90069444444444446</v>
      </c>
    </row>
    <row r="1299" spans="3:3" x14ac:dyDescent="0.25">
      <c r="C1299" s="5">
        <v>0.90138888888888891</v>
      </c>
    </row>
    <row r="1300" spans="3:3" x14ac:dyDescent="0.25">
      <c r="C1300" s="5">
        <v>0.90208333333333335</v>
      </c>
    </row>
    <row r="1301" spans="3:3" x14ac:dyDescent="0.25">
      <c r="C1301" s="5">
        <v>0.90277777777777779</v>
      </c>
    </row>
    <row r="1302" spans="3:3" x14ac:dyDescent="0.25">
      <c r="C1302" s="5">
        <v>0.90347222222222223</v>
      </c>
    </row>
    <row r="1303" spans="3:3" x14ac:dyDescent="0.25">
      <c r="C1303" s="5">
        <v>0.90416666666666667</v>
      </c>
    </row>
    <row r="1304" spans="3:3" x14ac:dyDescent="0.25">
      <c r="C1304" s="5">
        <v>0.90486111111111112</v>
      </c>
    </row>
    <row r="1305" spans="3:3" x14ac:dyDescent="0.25">
      <c r="C1305" s="5">
        <v>0.90555555555555556</v>
      </c>
    </row>
    <row r="1306" spans="3:3" x14ac:dyDescent="0.25">
      <c r="C1306" s="5">
        <v>0.90625</v>
      </c>
    </row>
    <row r="1307" spans="3:3" x14ac:dyDescent="0.25">
      <c r="C1307" s="5">
        <v>0.90694444444444444</v>
      </c>
    </row>
    <row r="1308" spans="3:3" x14ac:dyDescent="0.25">
      <c r="C1308" s="5">
        <v>0.90763888888888888</v>
      </c>
    </row>
    <row r="1309" spans="3:3" x14ac:dyDescent="0.25">
      <c r="C1309" s="5">
        <v>0.90833333333333333</v>
      </c>
    </row>
    <row r="1310" spans="3:3" x14ac:dyDescent="0.25">
      <c r="C1310" s="5">
        <v>0.90902777777777777</v>
      </c>
    </row>
    <row r="1311" spans="3:3" x14ac:dyDescent="0.25">
      <c r="C1311" s="5">
        <v>0.90972222222222221</v>
      </c>
    </row>
    <row r="1312" spans="3:3" x14ac:dyDescent="0.25">
      <c r="C1312" s="5">
        <v>0.91041666666666665</v>
      </c>
    </row>
    <row r="1313" spans="3:3" x14ac:dyDescent="0.25">
      <c r="C1313" s="5">
        <v>0.91111111111111109</v>
      </c>
    </row>
    <row r="1314" spans="3:3" x14ac:dyDescent="0.25">
      <c r="C1314" s="5">
        <v>0.91180555555555554</v>
      </c>
    </row>
    <row r="1315" spans="3:3" x14ac:dyDescent="0.25">
      <c r="C1315" s="5">
        <v>0.91249999999999998</v>
      </c>
    </row>
    <row r="1316" spans="3:3" x14ac:dyDescent="0.25">
      <c r="C1316" s="5">
        <v>0.91319444444444442</v>
      </c>
    </row>
    <row r="1317" spans="3:3" x14ac:dyDescent="0.25">
      <c r="C1317" s="5">
        <v>0.91388888888888886</v>
      </c>
    </row>
    <row r="1318" spans="3:3" x14ac:dyDescent="0.25">
      <c r="C1318" s="5">
        <v>0.9145833333333333</v>
      </c>
    </row>
    <row r="1319" spans="3:3" x14ac:dyDescent="0.25">
      <c r="C1319" s="5">
        <v>0.91527777777777775</v>
      </c>
    </row>
    <row r="1320" spans="3:3" x14ac:dyDescent="0.25">
      <c r="C1320" s="5">
        <v>0.91597222222222219</v>
      </c>
    </row>
    <row r="1321" spans="3:3" x14ac:dyDescent="0.25">
      <c r="C1321" s="5">
        <v>0.91666666666666663</v>
      </c>
    </row>
    <row r="1322" spans="3:3" x14ac:dyDescent="0.25">
      <c r="C1322" s="5">
        <v>0.91736111111111107</v>
      </c>
    </row>
    <row r="1323" spans="3:3" x14ac:dyDescent="0.25">
      <c r="C1323" s="5">
        <v>0.91805555555555551</v>
      </c>
    </row>
    <row r="1324" spans="3:3" x14ac:dyDescent="0.25">
      <c r="C1324" s="5">
        <v>0.91874999999999996</v>
      </c>
    </row>
    <row r="1325" spans="3:3" x14ac:dyDescent="0.25">
      <c r="C1325" s="5">
        <v>0.9194444444444444</v>
      </c>
    </row>
    <row r="1326" spans="3:3" x14ac:dyDescent="0.25">
      <c r="C1326" s="5">
        <v>0.92013888888888884</v>
      </c>
    </row>
    <row r="1327" spans="3:3" x14ac:dyDescent="0.25">
      <c r="C1327" s="5">
        <v>0.92083333333333328</v>
      </c>
    </row>
    <row r="1328" spans="3:3" x14ac:dyDescent="0.25">
      <c r="C1328" s="5">
        <v>0.92152777777777772</v>
      </c>
    </row>
    <row r="1329" spans="3:3" x14ac:dyDescent="0.25">
      <c r="C1329" s="5">
        <v>0.92222222222222228</v>
      </c>
    </row>
    <row r="1330" spans="3:3" x14ac:dyDescent="0.25">
      <c r="C1330" s="5">
        <v>0.92291666666666672</v>
      </c>
    </row>
    <row r="1331" spans="3:3" x14ac:dyDescent="0.25">
      <c r="C1331" s="5">
        <v>0.92361111111111116</v>
      </c>
    </row>
    <row r="1332" spans="3:3" x14ac:dyDescent="0.25">
      <c r="C1332" s="5">
        <v>0.9243055555555556</v>
      </c>
    </row>
    <row r="1333" spans="3:3" x14ac:dyDescent="0.25">
      <c r="C1333" s="5">
        <v>0.92500000000000004</v>
      </c>
    </row>
    <row r="1334" spans="3:3" x14ac:dyDescent="0.25">
      <c r="C1334" s="5">
        <v>0.92569444444444449</v>
      </c>
    </row>
    <row r="1335" spans="3:3" x14ac:dyDescent="0.25">
      <c r="C1335" s="5">
        <v>0.92638888888888893</v>
      </c>
    </row>
    <row r="1336" spans="3:3" x14ac:dyDescent="0.25">
      <c r="C1336" s="5">
        <v>0.92708333333333337</v>
      </c>
    </row>
    <row r="1337" spans="3:3" x14ac:dyDescent="0.25">
      <c r="C1337" s="5">
        <v>0.92777777777777781</v>
      </c>
    </row>
    <row r="1338" spans="3:3" x14ac:dyDescent="0.25">
      <c r="C1338" s="5">
        <v>0.92847222222222225</v>
      </c>
    </row>
    <row r="1339" spans="3:3" x14ac:dyDescent="0.25">
      <c r="C1339" s="5">
        <v>0.9291666666666667</v>
      </c>
    </row>
    <row r="1340" spans="3:3" x14ac:dyDescent="0.25">
      <c r="C1340" s="5">
        <v>0.92986111111111114</v>
      </c>
    </row>
    <row r="1341" spans="3:3" x14ac:dyDescent="0.25">
      <c r="C1341" s="5">
        <v>0.93055555555555558</v>
      </c>
    </row>
    <row r="1342" spans="3:3" x14ac:dyDescent="0.25">
      <c r="C1342" s="5">
        <v>0.93125000000000002</v>
      </c>
    </row>
    <row r="1343" spans="3:3" x14ac:dyDescent="0.25">
      <c r="C1343" s="5">
        <v>0.93194444444444446</v>
      </c>
    </row>
    <row r="1344" spans="3:3" x14ac:dyDescent="0.25">
      <c r="C1344" s="5">
        <v>0.93263888888888891</v>
      </c>
    </row>
    <row r="1345" spans="3:3" x14ac:dyDescent="0.25">
      <c r="C1345" s="5">
        <v>0.93333333333333335</v>
      </c>
    </row>
    <row r="1346" spans="3:3" x14ac:dyDescent="0.25">
      <c r="C1346" s="5">
        <v>0.93402777777777779</v>
      </c>
    </row>
    <row r="1347" spans="3:3" x14ac:dyDescent="0.25">
      <c r="C1347" s="5">
        <v>0.93472222222222223</v>
      </c>
    </row>
    <row r="1348" spans="3:3" x14ac:dyDescent="0.25">
      <c r="C1348" s="5">
        <v>0.93541666666666667</v>
      </c>
    </row>
    <row r="1349" spans="3:3" x14ac:dyDescent="0.25">
      <c r="C1349" s="5">
        <v>0.93611111111111112</v>
      </c>
    </row>
    <row r="1350" spans="3:3" x14ac:dyDescent="0.25">
      <c r="C1350" s="5">
        <v>0.93680555555555556</v>
      </c>
    </row>
    <row r="1351" spans="3:3" x14ac:dyDescent="0.25">
      <c r="C1351" s="5">
        <v>0.9375</v>
      </c>
    </row>
    <row r="1352" spans="3:3" x14ac:dyDescent="0.25">
      <c r="C1352" s="5">
        <v>0.93819444444444444</v>
      </c>
    </row>
    <row r="1353" spans="3:3" x14ac:dyDescent="0.25">
      <c r="C1353" s="5">
        <v>0.93888888888888888</v>
      </c>
    </row>
    <row r="1354" spans="3:3" x14ac:dyDescent="0.25">
      <c r="C1354" s="5">
        <v>0.93958333333333333</v>
      </c>
    </row>
    <row r="1355" spans="3:3" x14ac:dyDescent="0.25">
      <c r="C1355" s="5">
        <v>0.94027777777777777</v>
      </c>
    </row>
    <row r="1356" spans="3:3" x14ac:dyDescent="0.25">
      <c r="C1356" s="5">
        <v>0.94097222222222221</v>
      </c>
    </row>
    <row r="1357" spans="3:3" x14ac:dyDescent="0.25">
      <c r="C1357" s="5">
        <v>0.94166666666666665</v>
      </c>
    </row>
    <row r="1358" spans="3:3" x14ac:dyDescent="0.25">
      <c r="C1358" s="5">
        <v>0.94236111111111109</v>
      </c>
    </row>
    <row r="1359" spans="3:3" x14ac:dyDescent="0.25">
      <c r="C1359" s="5">
        <v>0.94305555555555554</v>
      </c>
    </row>
    <row r="1360" spans="3:3" x14ac:dyDescent="0.25">
      <c r="C1360" s="5">
        <v>0.94374999999999998</v>
      </c>
    </row>
    <row r="1361" spans="3:3" x14ac:dyDescent="0.25">
      <c r="C1361" s="5">
        <v>0.94444444444444442</v>
      </c>
    </row>
    <row r="1362" spans="3:3" x14ac:dyDescent="0.25">
      <c r="C1362" s="5">
        <v>0.94513888888888886</v>
      </c>
    </row>
    <row r="1363" spans="3:3" x14ac:dyDescent="0.25">
      <c r="C1363" s="5">
        <v>0.9458333333333333</v>
      </c>
    </row>
    <row r="1364" spans="3:3" x14ac:dyDescent="0.25">
      <c r="C1364" s="5">
        <v>0.94652777777777775</v>
      </c>
    </row>
    <row r="1365" spans="3:3" x14ac:dyDescent="0.25">
      <c r="C1365" s="5">
        <v>0.94722222222222219</v>
      </c>
    </row>
    <row r="1366" spans="3:3" x14ac:dyDescent="0.25">
      <c r="C1366" s="5">
        <v>0.94791666666666663</v>
      </c>
    </row>
    <row r="1367" spans="3:3" x14ac:dyDescent="0.25">
      <c r="C1367" s="5">
        <v>0.94861111111111107</v>
      </c>
    </row>
    <row r="1368" spans="3:3" x14ac:dyDescent="0.25">
      <c r="C1368" s="5">
        <v>0.94930555555555551</v>
      </c>
    </row>
    <row r="1369" spans="3:3" x14ac:dyDescent="0.25">
      <c r="C1369" s="5">
        <v>0.95</v>
      </c>
    </row>
    <row r="1370" spans="3:3" x14ac:dyDescent="0.25">
      <c r="C1370" s="5">
        <v>0.9506944444444444</v>
      </c>
    </row>
    <row r="1371" spans="3:3" x14ac:dyDescent="0.25">
      <c r="C1371" s="5">
        <v>0.95138888888888884</v>
      </c>
    </row>
    <row r="1372" spans="3:3" x14ac:dyDescent="0.25">
      <c r="C1372" s="5">
        <v>0.95208333333333328</v>
      </c>
    </row>
    <row r="1373" spans="3:3" x14ac:dyDescent="0.25">
      <c r="C1373" s="5">
        <v>0.95277777777777772</v>
      </c>
    </row>
    <row r="1374" spans="3:3" x14ac:dyDescent="0.25">
      <c r="C1374" s="5">
        <v>0.95347222222222228</v>
      </c>
    </row>
    <row r="1375" spans="3:3" x14ac:dyDescent="0.25">
      <c r="C1375" s="5">
        <v>0.95416666666666672</v>
      </c>
    </row>
    <row r="1376" spans="3:3" x14ac:dyDescent="0.25">
      <c r="C1376" s="5">
        <v>0.95486111111111116</v>
      </c>
    </row>
    <row r="1377" spans="3:3" x14ac:dyDescent="0.25">
      <c r="C1377" s="5">
        <v>0.9555555555555556</v>
      </c>
    </row>
    <row r="1378" spans="3:3" x14ac:dyDescent="0.25">
      <c r="C1378" s="5">
        <v>0.95625000000000004</v>
      </c>
    </row>
    <row r="1379" spans="3:3" x14ac:dyDescent="0.25">
      <c r="C1379" s="5">
        <v>0.95694444444444449</v>
      </c>
    </row>
    <row r="1380" spans="3:3" x14ac:dyDescent="0.25">
      <c r="C1380" s="5">
        <v>0.95763888888888893</v>
      </c>
    </row>
    <row r="1381" spans="3:3" x14ac:dyDescent="0.25">
      <c r="C1381" s="5">
        <v>0.95833333333333337</v>
      </c>
    </row>
    <row r="1382" spans="3:3" x14ac:dyDescent="0.25">
      <c r="C1382" s="5">
        <v>0.95902777777777781</v>
      </c>
    </row>
    <row r="1383" spans="3:3" x14ac:dyDescent="0.25">
      <c r="C1383" s="5">
        <v>0.95972222222222225</v>
      </c>
    </row>
    <row r="1384" spans="3:3" x14ac:dyDescent="0.25">
      <c r="C1384" s="5">
        <v>0.9604166666666667</v>
      </c>
    </row>
    <row r="1385" spans="3:3" x14ac:dyDescent="0.25">
      <c r="C1385" s="5">
        <v>0.96111111111111114</v>
      </c>
    </row>
    <row r="1386" spans="3:3" x14ac:dyDescent="0.25">
      <c r="C1386" s="5">
        <v>0.96180555555555558</v>
      </c>
    </row>
    <row r="1387" spans="3:3" x14ac:dyDescent="0.25">
      <c r="C1387" s="5">
        <v>0.96250000000000002</v>
      </c>
    </row>
    <row r="1388" spans="3:3" x14ac:dyDescent="0.25">
      <c r="C1388" s="5">
        <v>0.96319444444444446</v>
      </c>
    </row>
    <row r="1389" spans="3:3" x14ac:dyDescent="0.25">
      <c r="C1389" s="5">
        <v>0.96388888888888891</v>
      </c>
    </row>
    <row r="1390" spans="3:3" x14ac:dyDescent="0.25">
      <c r="C1390" s="5">
        <v>0.96458333333333335</v>
      </c>
    </row>
    <row r="1391" spans="3:3" x14ac:dyDescent="0.25">
      <c r="C1391" s="5">
        <v>0.96527777777777779</v>
      </c>
    </row>
    <row r="1392" spans="3:3" x14ac:dyDescent="0.25">
      <c r="C1392" s="5">
        <v>0.96597222222222223</v>
      </c>
    </row>
    <row r="1393" spans="3:3" x14ac:dyDescent="0.25">
      <c r="C1393" s="5">
        <v>0.96666666666666667</v>
      </c>
    </row>
    <row r="1394" spans="3:3" x14ac:dyDescent="0.25">
      <c r="C1394" s="5">
        <v>0.96736111111111112</v>
      </c>
    </row>
    <row r="1395" spans="3:3" x14ac:dyDescent="0.25">
      <c r="C1395" s="5">
        <v>0.96805555555555556</v>
      </c>
    </row>
    <row r="1396" spans="3:3" x14ac:dyDescent="0.25">
      <c r="C1396" s="5">
        <v>0.96875</v>
      </c>
    </row>
    <row r="1397" spans="3:3" x14ac:dyDescent="0.25">
      <c r="C1397" s="5">
        <v>0.96944444444444444</v>
      </c>
    </row>
    <row r="1398" spans="3:3" x14ac:dyDescent="0.25">
      <c r="C1398" s="5">
        <v>0.97013888888888888</v>
      </c>
    </row>
    <row r="1399" spans="3:3" x14ac:dyDescent="0.25">
      <c r="C1399" s="5">
        <v>0.97083333333333333</v>
      </c>
    </row>
    <row r="1400" spans="3:3" x14ac:dyDescent="0.25">
      <c r="C1400" s="5">
        <v>0.97152777777777777</v>
      </c>
    </row>
    <row r="1401" spans="3:3" x14ac:dyDescent="0.25">
      <c r="C1401" s="5">
        <v>0.97222222222222221</v>
      </c>
    </row>
    <row r="1402" spans="3:3" x14ac:dyDescent="0.25">
      <c r="C1402" s="5">
        <v>0.97291666666666665</v>
      </c>
    </row>
    <row r="1403" spans="3:3" x14ac:dyDescent="0.25">
      <c r="C1403" s="5">
        <v>0.97361111111111109</v>
      </c>
    </row>
    <row r="1404" spans="3:3" x14ac:dyDescent="0.25">
      <c r="C1404" s="5">
        <v>0.97430555555555554</v>
      </c>
    </row>
    <row r="1405" spans="3:3" x14ac:dyDescent="0.25">
      <c r="C1405" s="5">
        <v>0.97499999999999998</v>
      </c>
    </row>
    <row r="1406" spans="3:3" x14ac:dyDescent="0.25">
      <c r="C1406" s="5">
        <v>0.97569444444444442</v>
      </c>
    </row>
    <row r="1407" spans="3:3" x14ac:dyDescent="0.25">
      <c r="C1407" s="5">
        <v>0.97638888888888886</v>
      </c>
    </row>
    <row r="1408" spans="3:3" x14ac:dyDescent="0.25">
      <c r="C1408" s="5">
        <v>0.9770833333333333</v>
      </c>
    </row>
    <row r="1409" spans="3:3" x14ac:dyDescent="0.25">
      <c r="C1409" s="5">
        <v>0.97777777777777775</v>
      </c>
    </row>
    <row r="1410" spans="3:3" x14ac:dyDescent="0.25">
      <c r="C1410" s="5">
        <v>0.97847222222222219</v>
      </c>
    </row>
    <row r="1411" spans="3:3" x14ac:dyDescent="0.25">
      <c r="C1411" s="5">
        <v>0.97916666666666663</v>
      </c>
    </row>
    <row r="1412" spans="3:3" x14ac:dyDescent="0.25">
      <c r="C1412" s="5">
        <v>0.97986111111111107</v>
      </c>
    </row>
    <row r="1413" spans="3:3" x14ac:dyDescent="0.25">
      <c r="C1413" s="5">
        <v>0.98055555555555551</v>
      </c>
    </row>
    <row r="1414" spans="3:3" x14ac:dyDescent="0.25">
      <c r="C1414" s="5">
        <v>0.98124999999999996</v>
      </c>
    </row>
    <row r="1415" spans="3:3" x14ac:dyDescent="0.25">
      <c r="C1415" s="5">
        <v>0.9819444444444444</v>
      </c>
    </row>
    <row r="1416" spans="3:3" x14ac:dyDescent="0.25">
      <c r="C1416" s="5">
        <v>0.98263888888888884</v>
      </c>
    </row>
    <row r="1417" spans="3:3" x14ac:dyDescent="0.25">
      <c r="C1417" s="5">
        <v>0.98333333333333328</v>
      </c>
    </row>
    <row r="1418" spans="3:3" x14ac:dyDescent="0.25">
      <c r="C1418" s="5">
        <v>0.98402777777777772</v>
      </c>
    </row>
    <row r="1419" spans="3:3" x14ac:dyDescent="0.25">
      <c r="C1419" s="5">
        <v>0.98472222222222228</v>
      </c>
    </row>
    <row r="1420" spans="3:3" x14ac:dyDescent="0.25">
      <c r="C1420" s="5">
        <v>0.98541666666666672</v>
      </c>
    </row>
    <row r="1421" spans="3:3" x14ac:dyDescent="0.25">
      <c r="C1421" s="5">
        <v>0.98611111111111116</v>
      </c>
    </row>
    <row r="1422" spans="3:3" x14ac:dyDescent="0.25">
      <c r="C1422" s="5">
        <v>0.9868055555555556</v>
      </c>
    </row>
    <row r="1423" spans="3:3" x14ac:dyDescent="0.25">
      <c r="C1423" s="5">
        <v>0.98750000000000004</v>
      </c>
    </row>
    <row r="1424" spans="3:3" x14ac:dyDescent="0.25">
      <c r="C1424" s="5">
        <v>0.98819444444444449</v>
      </c>
    </row>
    <row r="1425" spans="3:3" x14ac:dyDescent="0.25">
      <c r="C1425" s="5">
        <v>0.98888888888888893</v>
      </c>
    </row>
    <row r="1426" spans="3:3" x14ac:dyDescent="0.25">
      <c r="C1426" s="5">
        <v>0.98958333333333337</v>
      </c>
    </row>
    <row r="1427" spans="3:3" x14ac:dyDescent="0.25">
      <c r="C1427" s="5">
        <v>0.99027777777777781</v>
      </c>
    </row>
    <row r="1428" spans="3:3" x14ac:dyDescent="0.25">
      <c r="C1428" s="5">
        <v>0.99097222222222225</v>
      </c>
    </row>
    <row r="1429" spans="3:3" x14ac:dyDescent="0.25">
      <c r="C1429" s="5">
        <v>0.9916666666666667</v>
      </c>
    </row>
    <row r="1430" spans="3:3" x14ac:dyDescent="0.25">
      <c r="C1430" s="5">
        <v>0.99236111111111114</v>
      </c>
    </row>
    <row r="1431" spans="3:3" x14ac:dyDescent="0.25">
      <c r="C1431" s="5">
        <v>0.99305555555555558</v>
      </c>
    </row>
    <row r="1432" spans="3:3" x14ac:dyDescent="0.25">
      <c r="C1432" s="5">
        <v>0.99375000000000002</v>
      </c>
    </row>
    <row r="1433" spans="3:3" x14ac:dyDescent="0.25">
      <c r="C1433" s="5">
        <v>0.99444444444444446</v>
      </c>
    </row>
    <row r="1434" spans="3:3" x14ac:dyDescent="0.25">
      <c r="C1434" s="5">
        <v>0.99513888888888891</v>
      </c>
    </row>
    <row r="1435" spans="3:3" x14ac:dyDescent="0.25">
      <c r="C1435" s="5">
        <v>0.99583333333333335</v>
      </c>
    </row>
    <row r="1436" spans="3:3" x14ac:dyDescent="0.25">
      <c r="C1436" s="5">
        <v>0.99652777777777779</v>
      </c>
    </row>
    <row r="1437" spans="3:3" x14ac:dyDescent="0.25">
      <c r="C1437" s="5">
        <v>0.99722222222222223</v>
      </c>
    </row>
    <row r="1438" spans="3:3" x14ac:dyDescent="0.25">
      <c r="C1438" s="5">
        <v>0.99791666666666667</v>
      </c>
    </row>
    <row r="1439" spans="3:3" x14ac:dyDescent="0.25">
      <c r="C1439" s="5">
        <v>0.99861111111111112</v>
      </c>
    </row>
    <row r="1440" spans="3:3" x14ac:dyDescent="0.25">
      <c r="C1440" s="5">
        <v>0.99930555555555556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zoomScale="70" zoomScaleNormal="70" workbookViewId="0">
      <selection activeCell="A3" sqref="A3"/>
    </sheetView>
  </sheetViews>
  <sheetFormatPr baseColWidth="10" defaultColWidth="9.140625" defaultRowHeight="15" x14ac:dyDescent="0.25"/>
  <cols>
    <col min="1" max="1" width="13.85546875" customWidth="1"/>
    <col min="2" max="2" width="13.7109375" customWidth="1"/>
    <col min="3" max="3" width="16" bestFit="1" customWidth="1"/>
    <col min="4" max="4" width="12.5703125" bestFit="1" customWidth="1"/>
    <col min="5" max="5" width="16.7109375" bestFit="1" customWidth="1"/>
    <col min="6" max="6" width="13.140625" customWidth="1"/>
    <col min="7" max="7" width="47" customWidth="1"/>
    <col min="8" max="8" width="54.5703125" customWidth="1"/>
    <col min="9" max="9" width="12.28515625" customWidth="1"/>
    <col min="10" max="10" width="14.5703125" customWidth="1"/>
    <col min="11" max="11" width="20.7109375" customWidth="1"/>
    <col min="14" max="14" width="13.42578125" customWidth="1"/>
    <col min="15" max="15" width="13.85546875" customWidth="1"/>
    <col min="16" max="16" width="13" customWidth="1"/>
    <col min="17" max="17" width="21.7109375" customWidth="1"/>
    <col min="18" max="18" width="14.5703125" customWidth="1"/>
    <col min="19" max="19" width="13" customWidth="1"/>
    <col min="21" max="21" width="9.7109375" customWidth="1"/>
    <col min="22" max="22" width="14.5703125" customWidth="1"/>
    <col min="23" max="23" width="13.28515625" customWidth="1"/>
    <col min="25" max="25" width="10.42578125" customWidth="1"/>
    <col min="26" max="26" width="15.140625" customWidth="1"/>
    <col min="27" max="27" width="14.140625" customWidth="1"/>
  </cols>
  <sheetData>
    <row r="1" spans="1:28" ht="69.75" customHeight="1" x14ac:dyDescent="0.3">
      <c r="A1" s="6" t="s">
        <v>0</v>
      </c>
      <c r="B1" s="6" t="s">
        <v>1</v>
      </c>
      <c r="C1" s="10" t="s">
        <v>358</v>
      </c>
      <c r="D1" s="10" t="s">
        <v>359</v>
      </c>
      <c r="E1" s="10" t="s">
        <v>360</v>
      </c>
      <c r="F1" s="7" t="s">
        <v>361</v>
      </c>
      <c r="G1" s="6" t="s">
        <v>362</v>
      </c>
      <c r="H1" s="6" t="s">
        <v>363</v>
      </c>
      <c r="I1" s="8" t="s">
        <v>364</v>
      </c>
      <c r="J1" s="8" t="s">
        <v>57</v>
      </c>
      <c r="K1" s="8" t="s">
        <v>365</v>
      </c>
      <c r="L1" s="9"/>
      <c r="M1" s="6" t="s">
        <v>366</v>
      </c>
      <c r="N1" s="9"/>
      <c r="O1" s="11" t="s">
        <v>367</v>
      </c>
      <c r="P1" s="11" t="s">
        <v>371</v>
      </c>
      <c r="Q1" s="1" t="s">
        <v>372</v>
      </c>
      <c r="R1" s="11" t="s">
        <v>368</v>
      </c>
      <c r="S1" s="11" t="s">
        <v>373</v>
      </c>
      <c r="T1" s="1" t="s">
        <v>374</v>
      </c>
      <c r="V1" s="11" t="s">
        <v>369</v>
      </c>
      <c r="W1" s="11" t="s">
        <v>375</v>
      </c>
      <c r="X1" s="1" t="s">
        <v>376</v>
      </c>
      <c r="Z1" s="11" t="s">
        <v>370</v>
      </c>
      <c r="AA1" s="11" t="s">
        <v>377</v>
      </c>
      <c r="AB1" s="1" t="s">
        <v>378</v>
      </c>
    </row>
    <row r="2" spans="1:28" x14ac:dyDescent="0.25">
      <c r="C2" s="5"/>
      <c r="D2" s="5"/>
      <c r="E2" s="4" t="str">
        <f>IF(OR(C2="",D2=""),"",MOD(D2-C2,1))</f>
        <v/>
      </c>
      <c r="L2" t="str">
        <f>_xlfn.TEXTJOIN(", ",TRUE,I2:K2)</f>
        <v/>
      </c>
      <c r="O2" s="12"/>
    </row>
    <row r="3" spans="1:28" x14ac:dyDescent="0.25">
      <c r="C3" s="5"/>
      <c r="D3" s="5"/>
      <c r="E3" s="4"/>
      <c r="O3" s="12"/>
    </row>
    <row r="4" spans="1:28" x14ac:dyDescent="0.25">
      <c r="C4" s="5"/>
      <c r="D4" s="5"/>
      <c r="E4" s="4" t="str">
        <f t="shared" ref="E4:E66" si="0">IF(OR(C4="",D4=""),"",MOD(D4-C4,1))</f>
        <v/>
      </c>
      <c r="O4" s="12"/>
    </row>
    <row r="5" spans="1:28" x14ac:dyDescent="0.25">
      <c r="B5" t="str">
        <f>IF(A5="","",_xlfn.XLOOKUP(A5,MAQUINAS!$A$3:$A$55,MAQUINAS!$B$3:$B$55,"No encontrada"))</f>
        <v/>
      </c>
      <c r="C5" s="5"/>
      <c r="D5" s="5"/>
      <c r="E5" s="4" t="str">
        <f t="shared" si="0"/>
        <v/>
      </c>
      <c r="O5" s="12"/>
    </row>
    <row r="6" spans="1:28" x14ac:dyDescent="0.25">
      <c r="B6" t="str">
        <f>IF(A6="","",_xlfn.XLOOKUP(A6,MAQUINAS!$A$3:$A$55,MAQUINAS!$B$3:$B$55,"No encontrada"))</f>
        <v/>
      </c>
      <c r="C6" s="5"/>
      <c r="D6" s="5"/>
      <c r="E6" s="4" t="str">
        <f t="shared" si="0"/>
        <v/>
      </c>
      <c r="O6" s="12"/>
    </row>
    <row r="7" spans="1:28" x14ac:dyDescent="0.25">
      <c r="B7" t="str">
        <f>IF(A7="","",_xlfn.XLOOKUP(A7,MAQUINAS!$A$3:$A$55,MAQUINAS!$B$3:$B$55,"No encontrada"))</f>
        <v/>
      </c>
      <c r="C7" s="5"/>
      <c r="D7" s="5"/>
      <c r="E7" s="4" t="str">
        <f t="shared" si="0"/>
        <v/>
      </c>
      <c r="O7" s="12"/>
    </row>
    <row r="8" spans="1:28" x14ac:dyDescent="0.25">
      <c r="B8" t="str">
        <f>IF(A8="","",_xlfn.XLOOKUP(A8,MAQUINAS!$A$3:$A$55,MAQUINAS!$B$3:$B$55,"No encontrada"))</f>
        <v/>
      </c>
      <c r="C8" s="5"/>
      <c r="D8" s="5"/>
      <c r="E8" s="4" t="str">
        <f t="shared" si="0"/>
        <v/>
      </c>
      <c r="O8" s="12"/>
    </row>
    <row r="9" spans="1:28" x14ac:dyDescent="0.25">
      <c r="B9" t="str">
        <f>IF(A9="","",_xlfn.XLOOKUP(A9,MAQUINAS!$A$3:$A$55,MAQUINAS!$B$3:$B$55,"No encontrada"))</f>
        <v/>
      </c>
      <c r="C9" s="5"/>
      <c r="D9" s="5"/>
      <c r="E9" s="4" t="str">
        <f t="shared" si="0"/>
        <v/>
      </c>
      <c r="O9" s="12"/>
    </row>
    <row r="10" spans="1:28" x14ac:dyDescent="0.25">
      <c r="B10" t="str">
        <f>IF(A10="","",_xlfn.XLOOKUP(A10,MAQUINAS!$A$3:$A$55,MAQUINAS!$B$3:$B$55,"No encontrada"))</f>
        <v/>
      </c>
      <c r="C10" s="5"/>
      <c r="D10" s="5"/>
      <c r="E10" s="4" t="str">
        <f t="shared" si="0"/>
        <v/>
      </c>
      <c r="O10" s="12"/>
    </row>
    <row r="11" spans="1:28" x14ac:dyDescent="0.25">
      <c r="B11" t="str">
        <f>IF(A11="","",_xlfn.XLOOKUP(A11,MAQUINAS!$A$3:$A$55,MAQUINAS!$B$3:$B$55,"No encontrada"))</f>
        <v/>
      </c>
      <c r="C11" s="5"/>
      <c r="D11" s="5"/>
      <c r="E11" s="4" t="str">
        <f t="shared" si="0"/>
        <v/>
      </c>
      <c r="O11" s="12"/>
    </row>
    <row r="12" spans="1:28" x14ac:dyDescent="0.25">
      <c r="B12" t="str">
        <f>IF(A12="","",_xlfn.XLOOKUP(A12,MAQUINAS!$A$3:$A$55,MAQUINAS!$B$3:$B$55,"No encontrada"))</f>
        <v/>
      </c>
      <c r="C12" s="5"/>
      <c r="D12" s="5"/>
      <c r="E12" s="4" t="str">
        <f t="shared" si="0"/>
        <v/>
      </c>
      <c r="O12" s="12"/>
    </row>
    <row r="13" spans="1:28" x14ac:dyDescent="0.25">
      <c r="B13" t="str">
        <f>IF(A13="","",_xlfn.XLOOKUP(A13,MAQUINAS!$A$3:$A$55,MAQUINAS!$B$3:$B$55,"No encontrada"))</f>
        <v/>
      </c>
      <c r="C13" s="5"/>
      <c r="D13" s="5"/>
      <c r="E13" s="4" t="str">
        <f t="shared" si="0"/>
        <v/>
      </c>
      <c r="O13" s="12"/>
    </row>
    <row r="14" spans="1:28" x14ac:dyDescent="0.25">
      <c r="B14" t="str">
        <f>IF(A14="","",_xlfn.XLOOKUP(A14,MAQUINAS!$A$3:$A$55,MAQUINAS!$B$3:$B$55,"No encontrada"))</f>
        <v/>
      </c>
      <c r="C14" s="5"/>
      <c r="D14" s="5"/>
      <c r="E14" s="4" t="str">
        <f t="shared" si="0"/>
        <v/>
      </c>
      <c r="O14" s="12"/>
    </row>
    <row r="15" spans="1:28" x14ac:dyDescent="0.25">
      <c r="B15" t="str">
        <f>IF(A15="","",_xlfn.XLOOKUP(A15,MAQUINAS!$A$3:$A$55,MAQUINAS!$B$3:$B$55,"No encontrada"))</f>
        <v/>
      </c>
      <c r="C15" s="5"/>
      <c r="D15" s="5"/>
      <c r="E15" s="4" t="str">
        <f t="shared" si="0"/>
        <v/>
      </c>
      <c r="O15" s="12"/>
    </row>
    <row r="16" spans="1:28" x14ac:dyDescent="0.25">
      <c r="B16" t="str">
        <f>IF(A16="","",_xlfn.XLOOKUP(A16,MAQUINAS!$A$3:$A$55,MAQUINAS!$B$3:$B$55,"No encontrada"))</f>
        <v/>
      </c>
      <c r="C16" s="5"/>
      <c r="D16" s="5"/>
      <c r="E16" s="4" t="str">
        <f t="shared" si="0"/>
        <v/>
      </c>
      <c r="O16" s="12"/>
    </row>
    <row r="17" spans="2:15" x14ac:dyDescent="0.25">
      <c r="B17" t="str">
        <f>IF(A17="","",_xlfn.XLOOKUP(A17,MAQUINAS!$A$3:$A$55,MAQUINAS!$B$3:$B$55,"No encontrada"))</f>
        <v/>
      </c>
      <c r="C17" s="5"/>
      <c r="D17" s="5"/>
      <c r="E17" s="4" t="str">
        <f t="shared" si="0"/>
        <v/>
      </c>
      <c r="O17" s="12"/>
    </row>
    <row r="18" spans="2:15" x14ac:dyDescent="0.25">
      <c r="B18" t="str">
        <f>IF(A18="","",_xlfn.XLOOKUP(A18,MAQUINAS!$A$3:$A$55,MAQUINAS!$B$3:$B$55,"No encontrada"))</f>
        <v/>
      </c>
      <c r="C18" s="5"/>
      <c r="D18" s="5"/>
      <c r="E18" s="4" t="str">
        <f t="shared" si="0"/>
        <v/>
      </c>
      <c r="O18" s="12"/>
    </row>
    <row r="19" spans="2:15" x14ac:dyDescent="0.25">
      <c r="B19" t="str">
        <f>IF(A19="","",_xlfn.XLOOKUP(A19,MAQUINAS!$A$3:$A$55,MAQUINAS!$B$3:$B$55,"No encontrada"))</f>
        <v/>
      </c>
      <c r="C19" s="5"/>
      <c r="D19" s="5"/>
      <c r="E19" s="4" t="str">
        <f t="shared" si="0"/>
        <v/>
      </c>
      <c r="O19" s="12"/>
    </row>
    <row r="20" spans="2:15" x14ac:dyDescent="0.25">
      <c r="B20" t="str">
        <f>IF(A20="","",_xlfn.XLOOKUP(A20,MAQUINAS!$A$3:$A$55,MAQUINAS!$B$3:$B$55,"No encontrada"))</f>
        <v/>
      </c>
      <c r="C20" s="5"/>
      <c r="D20" s="5"/>
      <c r="E20" s="4" t="str">
        <f t="shared" si="0"/>
        <v/>
      </c>
      <c r="O20" s="12"/>
    </row>
    <row r="21" spans="2:15" x14ac:dyDescent="0.25">
      <c r="B21" t="str">
        <f>IF(A21="","",_xlfn.XLOOKUP(A21,MAQUINAS!$A$3:$A$55,MAQUINAS!$B$3:$B$55,"No encontrada"))</f>
        <v/>
      </c>
      <c r="C21" s="5"/>
      <c r="D21" s="5"/>
      <c r="E21" s="4" t="str">
        <f t="shared" si="0"/>
        <v/>
      </c>
      <c r="O21" s="12"/>
    </row>
    <row r="22" spans="2:15" x14ac:dyDescent="0.25">
      <c r="B22" t="str">
        <f>IF(A22="","",_xlfn.XLOOKUP(A22,MAQUINAS!$A$3:$A$55,MAQUINAS!$B$3:$B$55,"No encontrada"))</f>
        <v/>
      </c>
      <c r="C22" s="5"/>
      <c r="D22" s="5"/>
      <c r="E22" s="4" t="str">
        <f t="shared" si="0"/>
        <v/>
      </c>
      <c r="O22" s="12"/>
    </row>
    <row r="23" spans="2:15" x14ac:dyDescent="0.25">
      <c r="B23" t="str">
        <f>IF(A23="","",_xlfn.XLOOKUP(A23,MAQUINAS!$A$3:$A$55,MAQUINAS!$B$3:$B$55,"No encontrada"))</f>
        <v/>
      </c>
      <c r="C23" s="5"/>
      <c r="D23" s="5"/>
      <c r="E23" s="4" t="str">
        <f t="shared" si="0"/>
        <v/>
      </c>
      <c r="O23" s="12"/>
    </row>
    <row r="24" spans="2:15" x14ac:dyDescent="0.25">
      <c r="B24" t="str">
        <f>IF(A24="","",_xlfn.XLOOKUP(A24,MAQUINAS!$A$3:$A$55,MAQUINAS!$B$3:$B$55,"No encontrada"))</f>
        <v/>
      </c>
      <c r="C24" s="5"/>
      <c r="D24" s="5"/>
      <c r="E24" s="4" t="str">
        <f t="shared" si="0"/>
        <v/>
      </c>
      <c r="O24" s="12"/>
    </row>
    <row r="25" spans="2:15" x14ac:dyDescent="0.25">
      <c r="B25" t="str">
        <f>IF(A25="","",_xlfn.XLOOKUP(A25,MAQUINAS!$A$3:$A$55,MAQUINAS!$B$3:$B$55,"No encontrada"))</f>
        <v/>
      </c>
      <c r="C25" s="5"/>
      <c r="D25" s="5"/>
      <c r="E25" s="4" t="str">
        <f t="shared" si="0"/>
        <v/>
      </c>
      <c r="O25" s="12"/>
    </row>
    <row r="26" spans="2:15" x14ac:dyDescent="0.25">
      <c r="B26" t="str">
        <f>IF(A26="","",_xlfn.XLOOKUP(A26,MAQUINAS!$A$3:$A$55,MAQUINAS!$B$3:$B$55,"No encontrada"))</f>
        <v/>
      </c>
      <c r="C26" s="5"/>
      <c r="D26" s="5"/>
      <c r="E26" s="4" t="str">
        <f t="shared" si="0"/>
        <v/>
      </c>
      <c r="O26" s="12"/>
    </row>
    <row r="27" spans="2:15" x14ac:dyDescent="0.25">
      <c r="B27" t="str">
        <f>IF(A27="","",_xlfn.XLOOKUP(A27,MAQUINAS!$A$3:$A$55,MAQUINAS!$B$3:$B$55,"No encontrada"))</f>
        <v/>
      </c>
      <c r="C27" s="5"/>
      <c r="D27" s="5"/>
      <c r="E27" s="4" t="str">
        <f t="shared" si="0"/>
        <v/>
      </c>
      <c r="O27" s="12"/>
    </row>
    <row r="28" spans="2:15" x14ac:dyDescent="0.25">
      <c r="B28" t="str">
        <f>IF(A28="","",_xlfn.XLOOKUP(A28,MAQUINAS!$A$3:$A$55,MAQUINAS!$B$3:$B$55,"No encontrada"))</f>
        <v/>
      </c>
      <c r="C28" s="5"/>
      <c r="D28" s="5"/>
      <c r="E28" s="4" t="str">
        <f t="shared" si="0"/>
        <v/>
      </c>
      <c r="O28" s="12"/>
    </row>
    <row r="29" spans="2:15" x14ac:dyDescent="0.25">
      <c r="B29" t="str">
        <f>IF(A29="","",_xlfn.XLOOKUP(A29,MAQUINAS!$A$3:$A$55,MAQUINAS!$B$3:$B$55,"No encontrada"))</f>
        <v/>
      </c>
      <c r="C29" s="5"/>
      <c r="D29" s="5"/>
      <c r="E29" s="4" t="str">
        <f t="shared" si="0"/>
        <v/>
      </c>
      <c r="O29" s="12"/>
    </row>
    <row r="30" spans="2:15" x14ac:dyDescent="0.25">
      <c r="B30" t="str">
        <f>IF(A30="","",_xlfn.XLOOKUP(A30,MAQUINAS!$A$3:$A$55,MAQUINAS!$B$3:$B$55,"No encontrada"))</f>
        <v/>
      </c>
      <c r="C30" s="5"/>
      <c r="D30" s="5"/>
      <c r="E30" s="4" t="str">
        <f t="shared" si="0"/>
        <v/>
      </c>
      <c r="O30" s="12"/>
    </row>
    <row r="31" spans="2:15" x14ac:dyDescent="0.25">
      <c r="B31" t="str">
        <f>IF(A31="","",_xlfn.XLOOKUP(A31,MAQUINAS!$A$3:$A$55,MAQUINAS!$B$3:$B$55,"No encontrada"))</f>
        <v/>
      </c>
      <c r="C31" s="5"/>
      <c r="D31" s="5"/>
      <c r="E31" s="4" t="str">
        <f t="shared" si="0"/>
        <v/>
      </c>
      <c r="O31" s="12"/>
    </row>
    <row r="32" spans="2:15" x14ac:dyDescent="0.25">
      <c r="B32" t="str">
        <f>IF(A32="","",_xlfn.XLOOKUP(A32,MAQUINAS!$A$3:$A$55,MAQUINAS!$B$3:$B$55,"No encontrada"))</f>
        <v/>
      </c>
      <c r="C32" s="5"/>
      <c r="D32" s="5"/>
      <c r="E32" s="4" t="str">
        <f t="shared" si="0"/>
        <v/>
      </c>
      <c r="O32" s="12"/>
    </row>
    <row r="33" spans="2:15" x14ac:dyDescent="0.25">
      <c r="B33" t="str">
        <f>IF(A33="","",_xlfn.XLOOKUP(A33,MAQUINAS!$A$3:$A$55,MAQUINAS!$B$3:$B$55,"No encontrada"))</f>
        <v/>
      </c>
      <c r="C33" s="5"/>
      <c r="D33" s="5"/>
      <c r="E33" s="4" t="str">
        <f t="shared" si="0"/>
        <v/>
      </c>
      <c r="O33" s="12"/>
    </row>
    <row r="34" spans="2:15" x14ac:dyDescent="0.25">
      <c r="B34" t="str">
        <f>IF(A34="","",_xlfn.XLOOKUP(A34,MAQUINAS!$A$3:$A$55,MAQUINAS!$B$3:$B$55,"No encontrada"))</f>
        <v/>
      </c>
      <c r="C34" s="5"/>
      <c r="D34" s="5"/>
      <c r="E34" s="4" t="str">
        <f t="shared" si="0"/>
        <v/>
      </c>
      <c r="O34" s="12"/>
    </row>
    <row r="35" spans="2:15" x14ac:dyDescent="0.25">
      <c r="B35" t="str">
        <f>IF(A35="","",_xlfn.XLOOKUP(A35,MAQUINAS!$A$3:$A$55,MAQUINAS!$B$3:$B$55,"No encontrada"))</f>
        <v/>
      </c>
      <c r="C35" s="5"/>
      <c r="D35" s="5"/>
      <c r="E35" s="4" t="str">
        <f t="shared" si="0"/>
        <v/>
      </c>
      <c r="O35" s="12"/>
    </row>
    <row r="36" spans="2:15" x14ac:dyDescent="0.25">
      <c r="B36" t="str">
        <f>IF(A36="","",_xlfn.XLOOKUP(A36,MAQUINAS!$A$3:$A$55,MAQUINAS!$B$3:$B$55,"No encontrada"))</f>
        <v/>
      </c>
      <c r="C36" s="5"/>
      <c r="D36" s="5"/>
      <c r="E36" s="4" t="str">
        <f t="shared" si="0"/>
        <v/>
      </c>
      <c r="O36" s="12"/>
    </row>
    <row r="37" spans="2:15" x14ac:dyDescent="0.25">
      <c r="B37" t="str">
        <f>IF(A37="","",_xlfn.XLOOKUP(A37,MAQUINAS!$A$3:$A$55,MAQUINAS!$B$3:$B$55,"No encontrada"))</f>
        <v/>
      </c>
      <c r="C37" s="5"/>
      <c r="D37" s="5"/>
      <c r="E37" s="4" t="str">
        <f t="shared" si="0"/>
        <v/>
      </c>
      <c r="O37" s="12"/>
    </row>
    <row r="38" spans="2:15" x14ac:dyDescent="0.25">
      <c r="B38" t="str">
        <f>IF(A38="","",_xlfn.XLOOKUP(A38,MAQUINAS!$A$3:$A$55,MAQUINAS!$B$3:$B$55,"No encontrada"))</f>
        <v/>
      </c>
      <c r="C38" s="5"/>
      <c r="D38" s="5"/>
      <c r="E38" s="4" t="str">
        <f t="shared" si="0"/>
        <v/>
      </c>
      <c r="O38" s="12"/>
    </row>
    <row r="39" spans="2:15" x14ac:dyDescent="0.25">
      <c r="B39" t="str">
        <f>IF(A39="","",_xlfn.XLOOKUP(A39,MAQUINAS!$A$3:$A$55,MAQUINAS!$B$3:$B$55,"No encontrada"))</f>
        <v/>
      </c>
      <c r="C39" s="5"/>
      <c r="D39" s="5"/>
      <c r="E39" s="4" t="str">
        <f t="shared" si="0"/>
        <v/>
      </c>
      <c r="O39" s="12"/>
    </row>
    <row r="40" spans="2:15" x14ac:dyDescent="0.25">
      <c r="B40" t="str">
        <f>IF(A40="","",_xlfn.XLOOKUP(A40,MAQUINAS!$A$3:$A$55,MAQUINAS!$B$3:$B$55,"No encontrada"))</f>
        <v/>
      </c>
      <c r="C40" s="5"/>
      <c r="D40" s="5"/>
      <c r="E40" s="4" t="str">
        <f t="shared" si="0"/>
        <v/>
      </c>
      <c r="O40" s="12"/>
    </row>
    <row r="41" spans="2:15" x14ac:dyDescent="0.25">
      <c r="B41" t="str">
        <f>IF(A41="","",_xlfn.XLOOKUP(A41,MAQUINAS!$A$3:$A$55,MAQUINAS!$B$3:$B$55,"No encontrada"))</f>
        <v/>
      </c>
      <c r="C41" s="5"/>
      <c r="D41" s="5"/>
      <c r="E41" s="4" t="str">
        <f t="shared" si="0"/>
        <v/>
      </c>
      <c r="O41" s="12"/>
    </row>
    <row r="42" spans="2:15" x14ac:dyDescent="0.25">
      <c r="B42" t="str">
        <f>IF(A42="","",_xlfn.XLOOKUP(A42,MAQUINAS!$A$3:$A$55,MAQUINAS!$B$3:$B$55,"No encontrada"))</f>
        <v/>
      </c>
      <c r="C42" s="5"/>
      <c r="D42" s="5"/>
      <c r="E42" s="4" t="str">
        <f t="shared" si="0"/>
        <v/>
      </c>
      <c r="O42" s="12"/>
    </row>
    <row r="43" spans="2:15" x14ac:dyDescent="0.25">
      <c r="B43" t="str">
        <f>IF(A43="","",_xlfn.XLOOKUP(A43,MAQUINAS!$A$3:$A$55,MAQUINAS!$B$3:$B$55,"No encontrada"))</f>
        <v/>
      </c>
      <c r="C43" s="5"/>
      <c r="D43" s="5"/>
      <c r="E43" s="4" t="str">
        <f t="shared" si="0"/>
        <v/>
      </c>
      <c r="O43" s="12"/>
    </row>
    <row r="44" spans="2:15" x14ac:dyDescent="0.25">
      <c r="B44" t="str">
        <f>IF(A44="","",_xlfn.XLOOKUP(A44,MAQUINAS!$A$3:$A$55,MAQUINAS!$B$3:$B$55,"No encontrada"))</f>
        <v/>
      </c>
      <c r="C44" s="5"/>
      <c r="D44" s="5"/>
      <c r="E44" s="4" t="str">
        <f t="shared" si="0"/>
        <v/>
      </c>
      <c r="O44" s="12"/>
    </row>
    <row r="45" spans="2:15" x14ac:dyDescent="0.25">
      <c r="B45" t="str">
        <f>IF(A45="","",_xlfn.XLOOKUP(A45,MAQUINAS!$A$3:$A$55,MAQUINAS!$B$3:$B$55,"No encontrada"))</f>
        <v/>
      </c>
      <c r="C45" s="5"/>
      <c r="D45" s="5"/>
      <c r="E45" s="4" t="str">
        <f t="shared" si="0"/>
        <v/>
      </c>
      <c r="O45" s="12"/>
    </row>
    <row r="46" spans="2:15" x14ac:dyDescent="0.25">
      <c r="B46" t="str">
        <f>IF(A46="","",_xlfn.XLOOKUP(A46,MAQUINAS!$A$3:$A$55,MAQUINAS!$B$3:$B$55,"No encontrada"))</f>
        <v/>
      </c>
      <c r="C46" s="5"/>
      <c r="D46" s="5"/>
      <c r="E46" s="4" t="str">
        <f t="shared" si="0"/>
        <v/>
      </c>
      <c r="O46" s="12"/>
    </row>
    <row r="47" spans="2:15" x14ac:dyDescent="0.25">
      <c r="B47" t="str">
        <f>IF(A47="","",_xlfn.XLOOKUP(A47,MAQUINAS!$A$3:$A$55,MAQUINAS!$B$3:$B$55,"No encontrada"))</f>
        <v/>
      </c>
      <c r="C47" s="5"/>
      <c r="D47" s="5"/>
      <c r="E47" s="4" t="str">
        <f t="shared" si="0"/>
        <v/>
      </c>
      <c r="O47" s="12"/>
    </row>
    <row r="48" spans="2:15" x14ac:dyDescent="0.25">
      <c r="B48" t="str">
        <f>IF(A48="","",_xlfn.XLOOKUP(A48,MAQUINAS!$A$3:$A$55,MAQUINAS!$B$3:$B$55,"No encontrada"))</f>
        <v/>
      </c>
      <c r="C48" s="5"/>
      <c r="D48" s="5"/>
      <c r="E48" s="4" t="str">
        <f t="shared" si="0"/>
        <v/>
      </c>
      <c r="O48" s="12"/>
    </row>
    <row r="49" spans="2:15" x14ac:dyDescent="0.25">
      <c r="B49" t="str">
        <f>IF(A49="","",_xlfn.XLOOKUP(A49,MAQUINAS!$A$3:$A$55,MAQUINAS!$B$3:$B$55,"No encontrada"))</f>
        <v/>
      </c>
      <c r="C49" s="5"/>
      <c r="D49" s="5"/>
      <c r="E49" s="4" t="str">
        <f t="shared" si="0"/>
        <v/>
      </c>
      <c r="O49" s="12"/>
    </row>
    <row r="50" spans="2:15" x14ac:dyDescent="0.25">
      <c r="B50" t="str">
        <f>IF(A50="","",_xlfn.XLOOKUP(A50,MAQUINAS!$A$3:$A$55,MAQUINAS!$B$3:$B$55,"No encontrada"))</f>
        <v/>
      </c>
      <c r="C50" s="5"/>
      <c r="D50" s="5"/>
      <c r="E50" s="4" t="str">
        <f t="shared" si="0"/>
        <v/>
      </c>
      <c r="O50" s="12"/>
    </row>
    <row r="51" spans="2:15" x14ac:dyDescent="0.25">
      <c r="B51" t="str">
        <f>IF(A51="","",_xlfn.XLOOKUP(A51,MAQUINAS!$A$3:$A$55,MAQUINAS!$B$3:$B$55,"No encontrada"))</f>
        <v/>
      </c>
      <c r="C51" s="5"/>
      <c r="D51" s="5"/>
      <c r="E51" s="4" t="str">
        <f t="shared" si="0"/>
        <v/>
      </c>
      <c r="O51" s="12"/>
    </row>
    <row r="52" spans="2:15" x14ac:dyDescent="0.25">
      <c r="B52" t="str">
        <f>IF(A52="","",_xlfn.XLOOKUP(A52,MAQUINAS!$A$3:$A$55,MAQUINAS!$B$3:$B$55,"No encontrada"))</f>
        <v/>
      </c>
      <c r="C52" s="5"/>
      <c r="D52" s="5"/>
      <c r="E52" s="4" t="str">
        <f t="shared" si="0"/>
        <v/>
      </c>
      <c r="O52" s="12"/>
    </row>
    <row r="53" spans="2:15" x14ac:dyDescent="0.25">
      <c r="B53" t="str">
        <f>IF(A53="","",_xlfn.XLOOKUP(A53,MAQUINAS!$A$3:$A$55,MAQUINAS!$B$3:$B$55,"No encontrada"))</f>
        <v/>
      </c>
      <c r="C53" s="5"/>
      <c r="D53" s="5"/>
      <c r="E53" s="4" t="str">
        <f t="shared" si="0"/>
        <v/>
      </c>
      <c r="O53" s="12"/>
    </row>
    <row r="54" spans="2:15" x14ac:dyDescent="0.25">
      <c r="B54" t="str">
        <f>IF(A54="","",_xlfn.XLOOKUP(A54,MAQUINAS!$A$3:$A$55,MAQUINAS!$B$3:$B$55,"No encontrada"))</f>
        <v/>
      </c>
      <c r="C54" s="5"/>
      <c r="D54" s="5"/>
      <c r="E54" s="4" t="str">
        <f t="shared" si="0"/>
        <v/>
      </c>
      <c r="O54" s="12"/>
    </row>
    <row r="55" spans="2:15" x14ac:dyDescent="0.25">
      <c r="B55" t="str">
        <f>IF(A55="","",_xlfn.XLOOKUP(A55,MAQUINAS!$A$3:$A$55,MAQUINAS!$B$3:$B$55,"No encontrada"))</f>
        <v/>
      </c>
      <c r="C55" s="5"/>
      <c r="D55" s="5"/>
      <c r="E55" s="4" t="str">
        <f t="shared" si="0"/>
        <v/>
      </c>
      <c r="O55" s="12"/>
    </row>
    <row r="56" spans="2:15" x14ac:dyDescent="0.25">
      <c r="B56" t="str">
        <f>IF(A56="","",_xlfn.XLOOKUP(A56,MAQUINAS!$A$3:$A$55,MAQUINAS!$B$3:$B$55,"No encontrada"))</f>
        <v/>
      </c>
      <c r="C56" s="5"/>
      <c r="D56" s="5"/>
      <c r="E56" s="4" t="str">
        <f t="shared" si="0"/>
        <v/>
      </c>
      <c r="O56" s="12"/>
    </row>
    <row r="57" spans="2:15" x14ac:dyDescent="0.25">
      <c r="B57" t="str">
        <f>IF(A57="","",_xlfn.XLOOKUP(A57,MAQUINAS!$A$3:$A$55,MAQUINAS!$B$3:$B$55,"No encontrada"))</f>
        <v/>
      </c>
      <c r="C57" s="5"/>
      <c r="D57" s="5"/>
      <c r="E57" s="4" t="str">
        <f t="shared" si="0"/>
        <v/>
      </c>
      <c r="O57" s="12"/>
    </row>
    <row r="58" spans="2:15" x14ac:dyDescent="0.25">
      <c r="B58" t="str">
        <f>IF(A58="","",_xlfn.XLOOKUP(A58,MAQUINAS!$A$3:$A$55,MAQUINAS!$B$3:$B$55,"No encontrada"))</f>
        <v/>
      </c>
      <c r="C58" s="5"/>
      <c r="D58" s="5"/>
      <c r="E58" s="4" t="str">
        <f t="shared" si="0"/>
        <v/>
      </c>
      <c r="O58" s="12"/>
    </row>
    <row r="59" spans="2:15" x14ac:dyDescent="0.25">
      <c r="B59" t="str">
        <f>IF(A59="","",_xlfn.XLOOKUP(A59,MAQUINAS!$A$3:$A$55,MAQUINAS!$B$3:$B$55,"No encontrada"))</f>
        <v/>
      </c>
      <c r="C59" s="5"/>
      <c r="D59" s="5"/>
      <c r="E59" s="4" t="str">
        <f t="shared" si="0"/>
        <v/>
      </c>
      <c r="O59" s="12"/>
    </row>
    <row r="60" spans="2:15" x14ac:dyDescent="0.25">
      <c r="B60" t="str">
        <f>IF(A60="","",_xlfn.XLOOKUP(A60,MAQUINAS!$A$3:$A$55,MAQUINAS!$B$3:$B$55,"No encontrada"))</f>
        <v/>
      </c>
      <c r="C60" s="5"/>
      <c r="D60" s="5"/>
      <c r="E60" s="4" t="str">
        <f t="shared" si="0"/>
        <v/>
      </c>
      <c r="O60" s="12"/>
    </row>
    <row r="61" spans="2:15" x14ac:dyDescent="0.25">
      <c r="B61" t="str">
        <f>IF(A61="","",_xlfn.XLOOKUP(A61,MAQUINAS!$A$3:$A$55,MAQUINAS!$B$3:$B$55,"No encontrada"))</f>
        <v/>
      </c>
      <c r="C61" s="5"/>
      <c r="D61" s="5"/>
      <c r="E61" s="4" t="str">
        <f t="shared" si="0"/>
        <v/>
      </c>
      <c r="O61" s="12"/>
    </row>
    <row r="62" spans="2:15" x14ac:dyDescent="0.25">
      <c r="B62" t="str">
        <f>IF(A62="","",_xlfn.XLOOKUP(A62,MAQUINAS!$A$3:$A$55,MAQUINAS!$B$3:$B$55,"No encontrada"))</f>
        <v/>
      </c>
      <c r="C62" s="5"/>
      <c r="D62" s="5"/>
      <c r="E62" s="4" t="str">
        <f t="shared" si="0"/>
        <v/>
      </c>
      <c r="O62" s="12"/>
    </row>
    <row r="63" spans="2:15" x14ac:dyDescent="0.25">
      <c r="B63" t="str">
        <f>IF(A63="","",_xlfn.XLOOKUP(A63,MAQUINAS!$A$3:$A$55,MAQUINAS!$B$3:$B$55,"No encontrada"))</f>
        <v/>
      </c>
      <c r="C63" s="5"/>
      <c r="D63" s="5"/>
      <c r="E63" s="4" t="str">
        <f t="shared" si="0"/>
        <v/>
      </c>
      <c r="O63" s="12"/>
    </row>
    <row r="64" spans="2:15" x14ac:dyDescent="0.25">
      <c r="B64" t="str">
        <f>IF(A64="","",_xlfn.XLOOKUP(A64,MAQUINAS!$A$3:$A$55,MAQUINAS!$B$3:$B$55,"No encontrada"))</f>
        <v/>
      </c>
      <c r="C64" s="5"/>
      <c r="D64" s="5"/>
      <c r="E64" s="4" t="str">
        <f t="shared" si="0"/>
        <v/>
      </c>
      <c r="O64" s="12"/>
    </row>
    <row r="65" spans="2:15" x14ac:dyDescent="0.25">
      <c r="B65" t="str">
        <f>IF(A65="","",_xlfn.XLOOKUP(A65,MAQUINAS!$A$3:$A$55,MAQUINAS!$B$3:$B$55,"No encontrada"))</f>
        <v/>
      </c>
      <c r="C65" s="5"/>
      <c r="D65" s="5"/>
      <c r="E65" s="4" t="str">
        <f t="shared" si="0"/>
        <v/>
      </c>
      <c r="O65" s="12"/>
    </row>
    <row r="66" spans="2:15" x14ac:dyDescent="0.25">
      <c r="B66" t="str">
        <f>IF(A66="","",_xlfn.XLOOKUP(A66,MAQUINAS!$A$3:$A$55,MAQUINAS!$B$3:$B$55,"No encontrada"))</f>
        <v/>
      </c>
      <c r="C66" s="5"/>
      <c r="D66" s="5"/>
      <c r="E66" s="4" t="str">
        <f t="shared" si="0"/>
        <v/>
      </c>
      <c r="O66" s="12"/>
    </row>
    <row r="67" spans="2:15" x14ac:dyDescent="0.25">
      <c r="B67" t="str">
        <f>IF(A67="","",_xlfn.XLOOKUP(A67,MAQUINAS!$A$3:$A$55,MAQUINAS!$B$3:$B$55,"No encontrada"))</f>
        <v/>
      </c>
      <c r="C67" s="5"/>
      <c r="D67" s="5"/>
      <c r="E67" s="4" t="str">
        <f t="shared" ref="E67:E130" si="1">IF(OR(C67="",D67=""),"",MOD(D67-C67,1))</f>
        <v/>
      </c>
      <c r="O67" s="12"/>
    </row>
    <row r="68" spans="2:15" x14ac:dyDescent="0.25">
      <c r="B68" t="str">
        <f>IF(A68="","",_xlfn.XLOOKUP(A68,MAQUINAS!$A$3:$A$55,MAQUINAS!$B$3:$B$55,"No encontrada"))</f>
        <v/>
      </c>
      <c r="C68" s="5"/>
      <c r="D68" s="5"/>
      <c r="E68" s="4" t="str">
        <f t="shared" si="1"/>
        <v/>
      </c>
      <c r="O68" s="12"/>
    </row>
    <row r="69" spans="2:15" x14ac:dyDescent="0.25">
      <c r="B69" t="str">
        <f>IF(A69="","",_xlfn.XLOOKUP(A69,MAQUINAS!$A$3:$A$55,MAQUINAS!$B$3:$B$55,"No encontrada"))</f>
        <v/>
      </c>
      <c r="C69" s="5"/>
      <c r="D69" s="5"/>
      <c r="E69" s="4" t="str">
        <f t="shared" si="1"/>
        <v/>
      </c>
      <c r="O69" s="12"/>
    </row>
    <row r="70" spans="2:15" x14ac:dyDescent="0.25">
      <c r="B70" t="str">
        <f>IF(A70="","",_xlfn.XLOOKUP(A70,MAQUINAS!$A$3:$A$55,MAQUINAS!$B$3:$B$55,"No encontrada"))</f>
        <v/>
      </c>
      <c r="C70" s="5"/>
      <c r="D70" s="5"/>
      <c r="E70" s="4" t="str">
        <f t="shared" si="1"/>
        <v/>
      </c>
      <c r="O70" s="12"/>
    </row>
    <row r="71" spans="2:15" x14ac:dyDescent="0.25">
      <c r="B71" t="str">
        <f>IF(A71="","",_xlfn.XLOOKUP(A71,MAQUINAS!$A$3:$A$55,MAQUINAS!$B$3:$B$55,"No encontrada"))</f>
        <v/>
      </c>
      <c r="C71" s="5"/>
      <c r="D71" s="5"/>
      <c r="E71" s="4" t="str">
        <f t="shared" si="1"/>
        <v/>
      </c>
      <c r="O71" s="12"/>
    </row>
    <row r="72" spans="2:15" x14ac:dyDescent="0.25">
      <c r="B72" t="str">
        <f>IF(A72="","",_xlfn.XLOOKUP(A72,MAQUINAS!$A$3:$A$55,MAQUINAS!$B$3:$B$55,"No encontrada"))</f>
        <v/>
      </c>
      <c r="C72" s="5"/>
      <c r="D72" s="5"/>
      <c r="E72" s="4" t="str">
        <f t="shared" si="1"/>
        <v/>
      </c>
      <c r="O72" s="12"/>
    </row>
    <row r="73" spans="2:15" x14ac:dyDescent="0.25">
      <c r="B73" t="str">
        <f>IF(A73="","",_xlfn.XLOOKUP(A73,MAQUINAS!$A$3:$A$55,MAQUINAS!$B$3:$B$55,"No encontrada"))</f>
        <v/>
      </c>
      <c r="C73" s="5"/>
      <c r="D73" s="5"/>
      <c r="E73" s="4" t="str">
        <f t="shared" si="1"/>
        <v/>
      </c>
      <c r="O73" s="12"/>
    </row>
    <row r="74" spans="2:15" x14ac:dyDescent="0.25">
      <c r="B74" t="str">
        <f>IF(A74="","",_xlfn.XLOOKUP(A74,MAQUINAS!$A$3:$A$55,MAQUINAS!$B$3:$B$55,"No encontrada"))</f>
        <v/>
      </c>
      <c r="C74" s="5"/>
      <c r="D74" s="5"/>
      <c r="E74" s="4" t="str">
        <f t="shared" si="1"/>
        <v/>
      </c>
      <c r="O74" s="12"/>
    </row>
    <row r="75" spans="2:15" x14ac:dyDescent="0.25">
      <c r="B75" t="str">
        <f>IF(A75="","",_xlfn.XLOOKUP(A75,MAQUINAS!$A$3:$A$55,MAQUINAS!$B$3:$B$55,"No encontrada"))</f>
        <v/>
      </c>
      <c r="C75" s="5"/>
      <c r="D75" s="5"/>
      <c r="E75" s="4" t="str">
        <f t="shared" si="1"/>
        <v/>
      </c>
      <c r="O75" s="12"/>
    </row>
    <row r="76" spans="2:15" x14ac:dyDescent="0.25">
      <c r="B76" t="str">
        <f>IF(A76="","",_xlfn.XLOOKUP(A76,MAQUINAS!$A$3:$A$55,MAQUINAS!$B$3:$B$55,"No encontrada"))</f>
        <v/>
      </c>
      <c r="C76" s="5"/>
      <c r="D76" s="5"/>
      <c r="E76" s="4" t="str">
        <f t="shared" si="1"/>
        <v/>
      </c>
      <c r="O76" s="12"/>
    </row>
    <row r="77" spans="2:15" x14ac:dyDescent="0.25">
      <c r="B77" t="str">
        <f>IF(A77="","",_xlfn.XLOOKUP(A77,MAQUINAS!$A$3:$A$55,MAQUINAS!$B$3:$B$55,"No encontrada"))</f>
        <v/>
      </c>
      <c r="C77" s="5"/>
      <c r="D77" s="5"/>
      <c r="E77" s="4" t="str">
        <f t="shared" si="1"/>
        <v/>
      </c>
      <c r="O77" s="12"/>
    </row>
    <row r="78" spans="2:15" x14ac:dyDescent="0.25">
      <c r="B78" t="str">
        <f>IF(A78="","",_xlfn.XLOOKUP(A78,MAQUINAS!$A$3:$A$55,MAQUINAS!$B$3:$B$55,"No encontrada"))</f>
        <v/>
      </c>
      <c r="C78" s="5"/>
      <c r="D78" s="5"/>
      <c r="E78" s="4" t="str">
        <f t="shared" si="1"/>
        <v/>
      </c>
      <c r="O78" s="12"/>
    </row>
    <row r="79" spans="2:15" x14ac:dyDescent="0.25">
      <c r="B79" t="str">
        <f>IF(A79="","",_xlfn.XLOOKUP(A79,MAQUINAS!$A$3:$A$55,MAQUINAS!$B$3:$B$55,"No encontrada"))</f>
        <v/>
      </c>
      <c r="C79" s="5"/>
      <c r="D79" s="5"/>
      <c r="E79" s="4" t="str">
        <f t="shared" si="1"/>
        <v/>
      </c>
      <c r="O79" s="12"/>
    </row>
    <row r="80" spans="2:15" x14ac:dyDescent="0.25">
      <c r="B80" t="str">
        <f>IF(A80="","",_xlfn.XLOOKUP(A80,MAQUINAS!$A$3:$A$55,MAQUINAS!$B$3:$B$55,"No encontrada"))</f>
        <v/>
      </c>
      <c r="C80" s="5"/>
      <c r="D80" s="5"/>
      <c r="E80" s="4" t="str">
        <f t="shared" si="1"/>
        <v/>
      </c>
      <c r="O80" s="12"/>
    </row>
    <row r="81" spans="2:15" x14ac:dyDescent="0.25">
      <c r="B81" t="str">
        <f>IF(A81="","",_xlfn.XLOOKUP(A81,MAQUINAS!$A$3:$A$55,MAQUINAS!$B$3:$B$55,"No encontrada"))</f>
        <v/>
      </c>
      <c r="C81" s="5"/>
      <c r="D81" s="5"/>
      <c r="E81" s="4" t="str">
        <f t="shared" si="1"/>
        <v/>
      </c>
      <c r="O81" s="12"/>
    </row>
    <row r="82" spans="2:15" x14ac:dyDescent="0.25">
      <c r="B82" t="str">
        <f>IF(A82="","",_xlfn.XLOOKUP(A82,MAQUINAS!$A$3:$A$55,MAQUINAS!$B$3:$B$55,"No encontrada"))</f>
        <v/>
      </c>
      <c r="C82" s="5"/>
      <c r="D82" s="5"/>
      <c r="E82" s="4" t="str">
        <f t="shared" si="1"/>
        <v/>
      </c>
      <c r="O82" s="12"/>
    </row>
    <row r="83" spans="2:15" x14ac:dyDescent="0.25">
      <c r="B83" t="str">
        <f>IF(A83="","",_xlfn.XLOOKUP(A83,MAQUINAS!$A$3:$A$55,MAQUINAS!$B$3:$B$55,"No encontrada"))</f>
        <v/>
      </c>
      <c r="C83" s="5"/>
      <c r="D83" s="5"/>
      <c r="E83" s="4" t="str">
        <f t="shared" si="1"/>
        <v/>
      </c>
      <c r="O83" s="12"/>
    </row>
    <row r="84" spans="2:15" x14ac:dyDescent="0.25">
      <c r="B84" t="str">
        <f>IF(A84="","",_xlfn.XLOOKUP(A84,MAQUINAS!$A$3:$A$55,MAQUINAS!$B$3:$B$55,"No encontrada"))</f>
        <v/>
      </c>
      <c r="C84" s="5"/>
      <c r="D84" s="5"/>
      <c r="E84" s="4" t="str">
        <f t="shared" si="1"/>
        <v/>
      </c>
      <c r="O84" s="12"/>
    </row>
    <row r="85" spans="2:15" x14ac:dyDescent="0.25">
      <c r="B85" t="str">
        <f>IF(A85="","",_xlfn.XLOOKUP(A85,MAQUINAS!$A$3:$A$55,MAQUINAS!$B$3:$B$55,"No encontrada"))</f>
        <v/>
      </c>
      <c r="C85" s="5"/>
      <c r="D85" s="5"/>
      <c r="E85" s="4" t="str">
        <f t="shared" si="1"/>
        <v/>
      </c>
      <c r="O85" s="12"/>
    </row>
    <row r="86" spans="2:15" x14ac:dyDescent="0.25">
      <c r="B86" t="str">
        <f>IF(A86="","",_xlfn.XLOOKUP(A86,MAQUINAS!$A$3:$A$55,MAQUINAS!$B$3:$B$55,"No encontrada"))</f>
        <v/>
      </c>
      <c r="C86" s="5"/>
      <c r="D86" s="5"/>
      <c r="E86" s="4" t="str">
        <f t="shared" si="1"/>
        <v/>
      </c>
      <c r="O86" s="12"/>
    </row>
    <row r="87" spans="2:15" x14ac:dyDescent="0.25">
      <c r="B87" t="str">
        <f>IF(A87="","",_xlfn.XLOOKUP(A87,MAQUINAS!$A$3:$A$55,MAQUINAS!$B$3:$B$55,"No encontrada"))</f>
        <v/>
      </c>
      <c r="C87" s="5"/>
      <c r="D87" s="5"/>
      <c r="E87" s="4" t="str">
        <f t="shared" si="1"/>
        <v/>
      </c>
      <c r="O87" s="12"/>
    </row>
    <row r="88" spans="2:15" x14ac:dyDescent="0.25">
      <c r="B88" t="str">
        <f>IF(A88="","",_xlfn.XLOOKUP(A88,MAQUINAS!$A$3:$A$55,MAQUINAS!$B$3:$B$55,"No encontrada"))</f>
        <v/>
      </c>
      <c r="C88" s="5"/>
      <c r="D88" s="5"/>
      <c r="E88" s="4" t="str">
        <f t="shared" si="1"/>
        <v/>
      </c>
      <c r="O88" s="12"/>
    </row>
    <row r="89" spans="2:15" x14ac:dyDescent="0.25">
      <c r="B89" t="str">
        <f>IF(A89="","",_xlfn.XLOOKUP(A89,MAQUINAS!$A$3:$A$55,MAQUINAS!$B$3:$B$55,"No encontrada"))</f>
        <v/>
      </c>
      <c r="C89" s="5"/>
      <c r="D89" s="5"/>
      <c r="E89" s="4" t="str">
        <f t="shared" si="1"/>
        <v/>
      </c>
      <c r="O89" s="12"/>
    </row>
    <row r="90" spans="2:15" x14ac:dyDescent="0.25">
      <c r="B90" t="str">
        <f>IF(A90="","",_xlfn.XLOOKUP(A90,MAQUINAS!$A$3:$A$55,MAQUINAS!$B$3:$B$55,"No encontrada"))</f>
        <v/>
      </c>
      <c r="C90" s="5"/>
      <c r="D90" s="5"/>
      <c r="E90" s="4" t="str">
        <f t="shared" si="1"/>
        <v/>
      </c>
      <c r="O90" s="12"/>
    </row>
    <row r="91" spans="2:15" x14ac:dyDescent="0.25">
      <c r="B91" t="str">
        <f>IF(A91="","",_xlfn.XLOOKUP(A91,MAQUINAS!$A$3:$A$55,MAQUINAS!$B$3:$B$55,"No encontrada"))</f>
        <v/>
      </c>
      <c r="C91" s="5"/>
      <c r="D91" s="5"/>
      <c r="E91" s="4" t="str">
        <f t="shared" si="1"/>
        <v/>
      </c>
      <c r="O91" s="12"/>
    </row>
    <row r="92" spans="2:15" x14ac:dyDescent="0.25">
      <c r="B92" t="str">
        <f>IF(A92="","",_xlfn.XLOOKUP(A92,MAQUINAS!$A$3:$A$55,MAQUINAS!$B$3:$B$55,"No encontrada"))</f>
        <v/>
      </c>
      <c r="C92" s="5"/>
      <c r="D92" s="5"/>
      <c r="E92" s="4" t="str">
        <f t="shared" si="1"/>
        <v/>
      </c>
      <c r="O92" s="12"/>
    </row>
    <row r="93" spans="2:15" x14ac:dyDescent="0.25">
      <c r="B93" t="str">
        <f>IF(A93="","",_xlfn.XLOOKUP(A93,MAQUINAS!$A$3:$A$55,MAQUINAS!$B$3:$B$55,"No encontrada"))</f>
        <v/>
      </c>
      <c r="C93" s="5"/>
      <c r="D93" s="5"/>
      <c r="E93" s="4" t="str">
        <f t="shared" si="1"/>
        <v/>
      </c>
      <c r="O93" s="12"/>
    </row>
    <row r="94" spans="2:15" x14ac:dyDescent="0.25">
      <c r="B94" t="str">
        <f>IF(A94="","",_xlfn.XLOOKUP(A94,MAQUINAS!$A$3:$A$55,MAQUINAS!$B$3:$B$55,"No encontrada"))</f>
        <v/>
      </c>
      <c r="C94" s="5"/>
      <c r="D94" s="5"/>
      <c r="E94" s="4" t="str">
        <f t="shared" si="1"/>
        <v/>
      </c>
      <c r="O94" s="12"/>
    </row>
    <row r="95" spans="2:15" x14ac:dyDescent="0.25">
      <c r="B95" t="str">
        <f>IF(A95="","",_xlfn.XLOOKUP(A95,MAQUINAS!$A$3:$A$55,MAQUINAS!$B$3:$B$55,"No encontrada"))</f>
        <v/>
      </c>
      <c r="C95" s="5"/>
      <c r="D95" s="5"/>
      <c r="E95" s="4" t="str">
        <f t="shared" si="1"/>
        <v/>
      </c>
      <c r="O95" s="12"/>
    </row>
    <row r="96" spans="2:15" x14ac:dyDescent="0.25">
      <c r="B96" t="str">
        <f>IF(A96="","",_xlfn.XLOOKUP(A96,MAQUINAS!$A$3:$A$55,MAQUINAS!$B$3:$B$55,"No encontrada"))</f>
        <v/>
      </c>
      <c r="C96" s="5"/>
      <c r="D96" s="5"/>
      <c r="E96" s="4" t="str">
        <f t="shared" si="1"/>
        <v/>
      </c>
      <c r="O96" s="12"/>
    </row>
    <row r="97" spans="2:15" x14ac:dyDescent="0.25">
      <c r="B97" t="str">
        <f>IF(A97="","",_xlfn.XLOOKUP(A97,MAQUINAS!$A$3:$A$55,MAQUINAS!$B$3:$B$55,"No encontrada"))</f>
        <v/>
      </c>
      <c r="C97" s="5"/>
      <c r="D97" s="5"/>
      <c r="E97" s="4" t="str">
        <f t="shared" si="1"/>
        <v/>
      </c>
      <c r="O97" s="12"/>
    </row>
    <row r="98" spans="2:15" x14ac:dyDescent="0.25">
      <c r="B98" t="str">
        <f>IF(A98="","",_xlfn.XLOOKUP(A98,MAQUINAS!$A$3:$A$55,MAQUINAS!$B$3:$B$55,"No encontrada"))</f>
        <v/>
      </c>
      <c r="C98" s="5"/>
      <c r="D98" s="5"/>
      <c r="E98" s="4" t="str">
        <f t="shared" si="1"/>
        <v/>
      </c>
      <c r="O98" s="12"/>
    </row>
    <row r="99" spans="2:15" x14ac:dyDescent="0.25">
      <c r="B99" t="str">
        <f>IF(A99="","",_xlfn.XLOOKUP(A99,MAQUINAS!$A$3:$A$55,MAQUINAS!$B$3:$B$55,"No encontrada"))</f>
        <v/>
      </c>
      <c r="C99" s="5"/>
      <c r="D99" s="5"/>
      <c r="E99" s="4" t="str">
        <f t="shared" si="1"/>
        <v/>
      </c>
      <c r="O99" s="12"/>
    </row>
    <row r="100" spans="2:15" x14ac:dyDescent="0.25">
      <c r="B100" t="str">
        <f>IF(A100="","",_xlfn.XLOOKUP(A100,MAQUINAS!$A$3:$A$55,MAQUINAS!$B$3:$B$55,"No encontrada"))</f>
        <v/>
      </c>
      <c r="C100" s="5"/>
      <c r="D100" s="5"/>
      <c r="E100" s="4" t="str">
        <f t="shared" si="1"/>
        <v/>
      </c>
      <c r="O100" s="12"/>
    </row>
    <row r="101" spans="2:15" x14ac:dyDescent="0.25">
      <c r="B101" t="str">
        <f>IF(A101="","",_xlfn.XLOOKUP(A101,MAQUINAS!$A$3:$A$55,MAQUINAS!$B$3:$B$55,"No encontrada"))</f>
        <v/>
      </c>
      <c r="C101" s="5"/>
      <c r="D101" s="5"/>
      <c r="E101" s="4" t="str">
        <f t="shared" si="1"/>
        <v/>
      </c>
      <c r="O101" s="12"/>
    </row>
    <row r="102" spans="2:15" x14ac:dyDescent="0.25">
      <c r="B102" t="str">
        <f>IF(A102="","",_xlfn.XLOOKUP(A102,MAQUINAS!$A$3:$A$55,MAQUINAS!$B$3:$B$55,"No encontrada"))</f>
        <v/>
      </c>
      <c r="C102" s="5"/>
      <c r="D102" s="5"/>
      <c r="E102" s="4" t="str">
        <f t="shared" si="1"/>
        <v/>
      </c>
      <c r="O102" s="12"/>
    </row>
    <row r="103" spans="2:15" x14ac:dyDescent="0.25">
      <c r="B103" t="str">
        <f>IF(A103="","",_xlfn.XLOOKUP(A103,MAQUINAS!$A$3:$A$55,MAQUINAS!$B$3:$B$55,"No encontrada"))</f>
        <v/>
      </c>
      <c r="C103" s="5"/>
      <c r="D103" s="5"/>
      <c r="E103" s="4" t="str">
        <f t="shared" si="1"/>
        <v/>
      </c>
      <c r="O103" s="12"/>
    </row>
    <row r="104" spans="2:15" x14ac:dyDescent="0.25">
      <c r="B104" t="str">
        <f>IF(A104="","",_xlfn.XLOOKUP(A104,MAQUINAS!$A$3:$A$55,MAQUINAS!$B$3:$B$55,"No encontrada"))</f>
        <v/>
      </c>
      <c r="C104" s="5"/>
      <c r="D104" s="5"/>
      <c r="E104" s="4" t="str">
        <f t="shared" si="1"/>
        <v/>
      </c>
      <c r="O104" s="12"/>
    </row>
    <row r="105" spans="2:15" x14ac:dyDescent="0.25">
      <c r="B105" t="str">
        <f>IF(A105="","",_xlfn.XLOOKUP(A105,MAQUINAS!$A$3:$A$55,MAQUINAS!$B$3:$B$55,"No encontrada"))</f>
        <v/>
      </c>
      <c r="C105" s="5"/>
      <c r="D105" s="5"/>
      <c r="E105" s="4" t="str">
        <f t="shared" si="1"/>
        <v/>
      </c>
      <c r="O105" s="12"/>
    </row>
    <row r="106" spans="2:15" x14ac:dyDescent="0.25">
      <c r="B106" t="str">
        <f>IF(A106="","",_xlfn.XLOOKUP(A106,MAQUINAS!$A$3:$A$55,MAQUINAS!$B$3:$B$55,"No encontrada"))</f>
        <v/>
      </c>
      <c r="C106" s="5"/>
      <c r="D106" s="5"/>
      <c r="E106" s="4" t="str">
        <f t="shared" si="1"/>
        <v/>
      </c>
      <c r="O106" s="12"/>
    </row>
    <row r="107" spans="2:15" x14ac:dyDescent="0.25">
      <c r="B107" t="str">
        <f>IF(A107="","",_xlfn.XLOOKUP(A107,MAQUINAS!$A$3:$A$55,MAQUINAS!$B$3:$B$55,"No encontrada"))</f>
        <v/>
      </c>
      <c r="C107" s="5"/>
      <c r="D107" s="5"/>
      <c r="E107" s="4" t="str">
        <f t="shared" si="1"/>
        <v/>
      </c>
      <c r="O107" s="12"/>
    </row>
    <row r="108" spans="2:15" x14ac:dyDescent="0.25">
      <c r="B108" t="str">
        <f>IF(A108="","",_xlfn.XLOOKUP(A108,MAQUINAS!$A$3:$A$55,MAQUINAS!$B$3:$B$55,"No encontrada"))</f>
        <v/>
      </c>
      <c r="C108" s="5"/>
      <c r="D108" s="5"/>
      <c r="E108" s="4" t="str">
        <f t="shared" si="1"/>
        <v/>
      </c>
      <c r="O108" s="12"/>
    </row>
    <row r="109" spans="2:15" x14ac:dyDescent="0.25">
      <c r="B109" t="str">
        <f>IF(A109="","",_xlfn.XLOOKUP(A109,MAQUINAS!$A$3:$A$55,MAQUINAS!$B$3:$B$55,"No encontrada"))</f>
        <v/>
      </c>
      <c r="C109" s="5"/>
      <c r="D109" s="5"/>
      <c r="E109" s="4" t="str">
        <f t="shared" si="1"/>
        <v/>
      </c>
      <c r="O109" s="12"/>
    </row>
    <row r="110" spans="2:15" x14ac:dyDescent="0.25">
      <c r="B110" t="str">
        <f>IF(A110="","",_xlfn.XLOOKUP(A110,MAQUINAS!$A$3:$A$55,MAQUINAS!$B$3:$B$55,"No encontrada"))</f>
        <v/>
      </c>
      <c r="C110" s="5"/>
      <c r="D110" s="5"/>
      <c r="E110" s="4" t="str">
        <f t="shared" si="1"/>
        <v/>
      </c>
      <c r="O110" s="12"/>
    </row>
    <row r="111" spans="2:15" x14ac:dyDescent="0.25">
      <c r="B111" t="str">
        <f>IF(A111="","",_xlfn.XLOOKUP(A111,MAQUINAS!$A$3:$A$55,MAQUINAS!$B$3:$B$55,"No encontrada"))</f>
        <v/>
      </c>
      <c r="C111" s="5"/>
      <c r="D111" s="5"/>
      <c r="E111" s="4" t="str">
        <f t="shared" si="1"/>
        <v/>
      </c>
      <c r="O111" s="12"/>
    </row>
    <row r="112" spans="2:15" x14ac:dyDescent="0.25">
      <c r="B112" t="str">
        <f>IF(A112="","",_xlfn.XLOOKUP(A112,MAQUINAS!$A$3:$A$55,MAQUINAS!$B$3:$B$55,"No encontrada"))</f>
        <v/>
      </c>
      <c r="C112" s="5"/>
      <c r="D112" s="5"/>
      <c r="E112" s="4" t="str">
        <f t="shared" si="1"/>
        <v/>
      </c>
      <c r="O112" s="12"/>
    </row>
    <row r="113" spans="2:15" x14ac:dyDescent="0.25">
      <c r="B113" t="str">
        <f>IF(A113="","",_xlfn.XLOOKUP(A113,MAQUINAS!$A$3:$A$55,MAQUINAS!$B$3:$B$55,"No encontrada"))</f>
        <v/>
      </c>
      <c r="C113" s="5"/>
      <c r="D113" s="5"/>
      <c r="E113" s="4" t="str">
        <f t="shared" si="1"/>
        <v/>
      </c>
      <c r="O113" s="12"/>
    </row>
    <row r="114" spans="2:15" x14ac:dyDescent="0.25">
      <c r="B114" t="str">
        <f>IF(A114="","",_xlfn.XLOOKUP(A114,MAQUINAS!$A$3:$A$55,MAQUINAS!$B$3:$B$55,"No encontrada"))</f>
        <v/>
      </c>
      <c r="C114" s="5"/>
      <c r="D114" s="5"/>
      <c r="E114" s="4" t="str">
        <f t="shared" si="1"/>
        <v/>
      </c>
      <c r="O114" s="12"/>
    </row>
    <row r="115" spans="2:15" x14ac:dyDescent="0.25">
      <c r="B115" t="str">
        <f>IF(A115="","",_xlfn.XLOOKUP(A115,MAQUINAS!$A$3:$A$55,MAQUINAS!$B$3:$B$55,"No encontrada"))</f>
        <v/>
      </c>
      <c r="C115" s="5"/>
      <c r="D115" s="5"/>
      <c r="E115" s="4" t="str">
        <f t="shared" si="1"/>
        <v/>
      </c>
      <c r="O115" s="12"/>
    </row>
    <row r="116" spans="2:15" x14ac:dyDescent="0.25">
      <c r="B116" t="str">
        <f>IF(A116="","",_xlfn.XLOOKUP(A116,MAQUINAS!$A$3:$A$55,MAQUINAS!$B$3:$B$55,"No encontrada"))</f>
        <v/>
      </c>
      <c r="C116" s="5"/>
      <c r="D116" s="5"/>
      <c r="E116" s="4" t="str">
        <f t="shared" si="1"/>
        <v/>
      </c>
      <c r="O116" s="12"/>
    </row>
    <row r="117" spans="2:15" x14ac:dyDescent="0.25">
      <c r="B117" t="str">
        <f>IF(A117="","",_xlfn.XLOOKUP(A117,MAQUINAS!$A$3:$A$55,MAQUINAS!$B$3:$B$55,"No encontrada"))</f>
        <v/>
      </c>
      <c r="C117" s="5"/>
      <c r="D117" s="5"/>
      <c r="E117" s="4" t="str">
        <f t="shared" si="1"/>
        <v/>
      </c>
      <c r="O117" s="12"/>
    </row>
    <row r="118" spans="2:15" x14ac:dyDescent="0.25">
      <c r="B118" t="str">
        <f>IF(A118="","",_xlfn.XLOOKUP(A118,MAQUINAS!$A$3:$A$55,MAQUINAS!$B$3:$B$55,"No encontrada"))</f>
        <v/>
      </c>
      <c r="C118" s="5"/>
      <c r="D118" s="5"/>
      <c r="E118" s="4" t="str">
        <f t="shared" si="1"/>
        <v/>
      </c>
      <c r="O118" s="12"/>
    </row>
    <row r="119" spans="2:15" x14ac:dyDescent="0.25">
      <c r="B119" t="str">
        <f>IF(A119="","",_xlfn.XLOOKUP(A119,MAQUINAS!$A$3:$A$55,MAQUINAS!$B$3:$B$55,"No encontrada"))</f>
        <v/>
      </c>
      <c r="C119" s="5"/>
      <c r="D119" s="5"/>
      <c r="E119" s="4" t="str">
        <f t="shared" si="1"/>
        <v/>
      </c>
      <c r="O119" s="12"/>
    </row>
    <row r="120" spans="2:15" x14ac:dyDescent="0.25">
      <c r="B120" t="str">
        <f>IF(A120="","",_xlfn.XLOOKUP(A120,MAQUINAS!$A$3:$A$55,MAQUINAS!$B$3:$B$55,"No encontrada"))</f>
        <v/>
      </c>
      <c r="C120" s="5"/>
      <c r="D120" s="5"/>
      <c r="E120" s="4" t="str">
        <f t="shared" si="1"/>
        <v/>
      </c>
      <c r="O120" s="12"/>
    </row>
    <row r="121" spans="2:15" x14ac:dyDescent="0.25">
      <c r="B121" t="str">
        <f>IF(A121="","",_xlfn.XLOOKUP(A121,MAQUINAS!$A$3:$A$55,MAQUINAS!$B$3:$B$55,"No encontrada"))</f>
        <v/>
      </c>
      <c r="C121" s="5"/>
      <c r="D121" s="5"/>
      <c r="E121" s="4" t="str">
        <f t="shared" si="1"/>
        <v/>
      </c>
      <c r="O121" s="12"/>
    </row>
    <row r="122" spans="2:15" x14ac:dyDescent="0.25">
      <c r="B122" t="str">
        <f>IF(A122="","",_xlfn.XLOOKUP(A122,MAQUINAS!$A$3:$A$55,MAQUINAS!$B$3:$B$55,"No encontrada"))</f>
        <v/>
      </c>
      <c r="C122" s="5"/>
      <c r="D122" s="5"/>
      <c r="E122" s="4" t="str">
        <f t="shared" si="1"/>
        <v/>
      </c>
      <c r="O122" s="12"/>
    </row>
    <row r="123" spans="2:15" x14ac:dyDescent="0.25">
      <c r="B123" t="str">
        <f>IF(A123="","",_xlfn.XLOOKUP(A123,MAQUINAS!$A$3:$A$55,MAQUINAS!$B$3:$B$55,"No encontrada"))</f>
        <v/>
      </c>
      <c r="C123" s="5"/>
      <c r="D123" s="5"/>
      <c r="E123" s="4" t="str">
        <f t="shared" si="1"/>
        <v/>
      </c>
      <c r="O123" s="12"/>
    </row>
    <row r="124" spans="2:15" x14ac:dyDescent="0.25">
      <c r="B124" t="str">
        <f>IF(A124="","",_xlfn.XLOOKUP(A124,MAQUINAS!$A$3:$A$55,MAQUINAS!$B$3:$B$55,"No encontrada"))</f>
        <v/>
      </c>
      <c r="C124" s="5"/>
      <c r="D124" s="5"/>
      <c r="E124" s="4" t="str">
        <f t="shared" si="1"/>
        <v/>
      </c>
      <c r="O124" s="12"/>
    </row>
    <row r="125" spans="2:15" x14ac:dyDescent="0.25">
      <c r="B125" t="str">
        <f>IF(A125="","",_xlfn.XLOOKUP(A125,MAQUINAS!$A$3:$A$55,MAQUINAS!$B$3:$B$55,"No encontrada"))</f>
        <v/>
      </c>
      <c r="C125" s="5"/>
      <c r="D125" s="5"/>
      <c r="E125" s="4" t="str">
        <f t="shared" si="1"/>
        <v/>
      </c>
      <c r="O125" s="12"/>
    </row>
    <row r="126" spans="2:15" x14ac:dyDescent="0.25">
      <c r="B126" t="str">
        <f>IF(A126="","",_xlfn.XLOOKUP(A126,MAQUINAS!$A$3:$A$55,MAQUINAS!$B$3:$B$55,"No encontrada"))</f>
        <v/>
      </c>
      <c r="C126" s="5"/>
      <c r="D126" s="5"/>
      <c r="E126" s="4" t="str">
        <f t="shared" si="1"/>
        <v/>
      </c>
      <c r="O126" s="12"/>
    </row>
    <row r="127" spans="2:15" x14ac:dyDescent="0.25">
      <c r="B127" t="str">
        <f>IF(A127="","",_xlfn.XLOOKUP(A127,MAQUINAS!$A$3:$A$55,MAQUINAS!$B$3:$B$55,"No encontrada"))</f>
        <v/>
      </c>
      <c r="C127" s="5"/>
      <c r="D127" s="5"/>
      <c r="E127" s="4" t="str">
        <f t="shared" si="1"/>
        <v/>
      </c>
      <c r="O127" s="12"/>
    </row>
    <row r="128" spans="2:15" x14ac:dyDescent="0.25">
      <c r="B128" t="str">
        <f>IF(A128="","",_xlfn.XLOOKUP(A128,MAQUINAS!$A$3:$A$55,MAQUINAS!$B$3:$B$55,"No encontrada"))</f>
        <v/>
      </c>
      <c r="C128" s="5"/>
      <c r="D128" s="5"/>
      <c r="E128" s="4" t="str">
        <f t="shared" si="1"/>
        <v/>
      </c>
      <c r="O128" s="12"/>
    </row>
    <row r="129" spans="2:15" x14ac:dyDescent="0.25">
      <c r="B129" t="str">
        <f>IF(A129="","",_xlfn.XLOOKUP(A129,MAQUINAS!$A$3:$A$55,MAQUINAS!$B$3:$B$55,"No encontrada"))</f>
        <v/>
      </c>
      <c r="C129" s="5"/>
      <c r="D129" s="5"/>
      <c r="E129" s="4" t="str">
        <f t="shared" si="1"/>
        <v/>
      </c>
      <c r="O129" s="12"/>
    </row>
    <row r="130" spans="2:15" x14ac:dyDescent="0.25">
      <c r="B130" t="str">
        <f>IF(A130="","",_xlfn.XLOOKUP(A130,MAQUINAS!$A$3:$A$55,MAQUINAS!$B$3:$B$55,"No encontrada"))</f>
        <v/>
      </c>
      <c r="C130" s="5"/>
      <c r="D130" s="5"/>
      <c r="E130" s="4" t="str">
        <f t="shared" si="1"/>
        <v/>
      </c>
      <c r="O130" s="12"/>
    </row>
    <row r="131" spans="2:15" x14ac:dyDescent="0.25">
      <c r="B131" t="str">
        <f>IF(A131="","",_xlfn.XLOOKUP(A131,MAQUINAS!$A$3:$A$55,MAQUINAS!$B$3:$B$55,"No encontrada"))</f>
        <v/>
      </c>
      <c r="C131" s="5"/>
      <c r="D131" s="5"/>
      <c r="E131" s="4" t="str">
        <f t="shared" ref="E131:E194" si="2">IF(OR(C131="",D131=""),"",MOD(D131-C131,1))</f>
        <v/>
      </c>
      <c r="O131" s="12"/>
    </row>
    <row r="132" spans="2:15" x14ac:dyDescent="0.25">
      <c r="B132" t="str">
        <f>IF(A132="","",_xlfn.XLOOKUP(A132,MAQUINAS!$A$3:$A$55,MAQUINAS!$B$3:$B$55,"No encontrada"))</f>
        <v/>
      </c>
      <c r="C132" s="5"/>
      <c r="D132" s="5"/>
      <c r="E132" s="4" t="str">
        <f t="shared" si="2"/>
        <v/>
      </c>
      <c r="O132" s="12"/>
    </row>
    <row r="133" spans="2:15" x14ac:dyDescent="0.25">
      <c r="B133" t="str">
        <f>IF(A133="","",_xlfn.XLOOKUP(A133,MAQUINAS!$A$3:$A$55,MAQUINAS!$B$3:$B$55,"No encontrada"))</f>
        <v/>
      </c>
      <c r="C133" s="5"/>
      <c r="D133" s="5"/>
      <c r="E133" s="4" t="str">
        <f t="shared" si="2"/>
        <v/>
      </c>
      <c r="O133" s="12"/>
    </row>
    <row r="134" spans="2:15" x14ac:dyDescent="0.25">
      <c r="B134" t="str">
        <f>IF(A134="","",_xlfn.XLOOKUP(A134,MAQUINAS!$A$3:$A$55,MAQUINAS!$B$3:$B$55,"No encontrada"))</f>
        <v/>
      </c>
      <c r="C134" s="5"/>
      <c r="D134" s="5"/>
      <c r="E134" s="4" t="str">
        <f t="shared" si="2"/>
        <v/>
      </c>
      <c r="O134" s="12"/>
    </row>
    <row r="135" spans="2:15" x14ac:dyDescent="0.25">
      <c r="B135" t="str">
        <f>IF(A135="","",_xlfn.XLOOKUP(A135,MAQUINAS!$A$3:$A$55,MAQUINAS!$B$3:$B$55,"No encontrada"))</f>
        <v/>
      </c>
      <c r="C135" s="5"/>
      <c r="D135" s="5"/>
      <c r="E135" s="4" t="str">
        <f t="shared" si="2"/>
        <v/>
      </c>
      <c r="O135" s="12"/>
    </row>
    <row r="136" spans="2:15" x14ac:dyDescent="0.25">
      <c r="B136" t="str">
        <f>IF(A136="","",_xlfn.XLOOKUP(A136,MAQUINAS!$A$3:$A$55,MAQUINAS!$B$3:$B$55,"No encontrada"))</f>
        <v/>
      </c>
      <c r="C136" s="5"/>
      <c r="D136" s="5"/>
      <c r="E136" s="4" t="str">
        <f t="shared" si="2"/>
        <v/>
      </c>
      <c r="O136" s="12"/>
    </row>
    <row r="137" spans="2:15" x14ac:dyDescent="0.25">
      <c r="B137" t="str">
        <f>IF(A137="","",_xlfn.XLOOKUP(A137,MAQUINAS!$A$3:$A$55,MAQUINAS!$B$3:$B$55,"No encontrada"))</f>
        <v/>
      </c>
      <c r="C137" s="5"/>
      <c r="D137" s="5"/>
      <c r="E137" s="4" t="str">
        <f t="shared" si="2"/>
        <v/>
      </c>
      <c r="O137" s="12"/>
    </row>
    <row r="138" spans="2:15" x14ac:dyDescent="0.25">
      <c r="B138" t="str">
        <f>IF(A138="","",_xlfn.XLOOKUP(A138,MAQUINAS!$A$3:$A$55,MAQUINAS!$B$3:$B$55,"No encontrada"))</f>
        <v/>
      </c>
      <c r="C138" s="5"/>
      <c r="D138" s="5"/>
      <c r="E138" s="4" t="str">
        <f t="shared" si="2"/>
        <v/>
      </c>
      <c r="O138" s="12"/>
    </row>
    <row r="139" spans="2:15" x14ac:dyDescent="0.25">
      <c r="B139" t="str">
        <f>IF(A139="","",_xlfn.XLOOKUP(A139,MAQUINAS!$A$3:$A$55,MAQUINAS!$B$3:$B$55,"No encontrada"))</f>
        <v/>
      </c>
      <c r="C139" s="5"/>
      <c r="D139" s="5"/>
      <c r="E139" s="4" t="str">
        <f t="shared" si="2"/>
        <v/>
      </c>
      <c r="O139" s="12"/>
    </row>
    <row r="140" spans="2:15" x14ac:dyDescent="0.25">
      <c r="B140" t="str">
        <f>IF(A140="","",_xlfn.XLOOKUP(A140,MAQUINAS!$A$3:$A$55,MAQUINAS!$B$3:$B$55,"No encontrada"))</f>
        <v/>
      </c>
      <c r="C140" s="5"/>
      <c r="D140" s="5"/>
      <c r="E140" s="4" t="str">
        <f t="shared" si="2"/>
        <v/>
      </c>
      <c r="O140" s="12"/>
    </row>
    <row r="141" spans="2:15" x14ac:dyDescent="0.25">
      <c r="B141" t="str">
        <f>IF(A141="","",_xlfn.XLOOKUP(A141,MAQUINAS!$A$3:$A$55,MAQUINAS!$B$3:$B$55,"No encontrada"))</f>
        <v/>
      </c>
      <c r="C141" s="5"/>
      <c r="D141" s="5"/>
      <c r="E141" s="4" t="str">
        <f t="shared" si="2"/>
        <v/>
      </c>
      <c r="O141" s="12"/>
    </row>
    <row r="142" spans="2:15" x14ac:dyDescent="0.25">
      <c r="B142" t="str">
        <f>IF(A142="","",_xlfn.XLOOKUP(A142,MAQUINAS!$A$3:$A$55,MAQUINAS!$B$3:$B$55,"No encontrada"))</f>
        <v/>
      </c>
      <c r="C142" s="5"/>
      <c r="D142" s="5"/>
      <c r="E142" s="4" t="str">
        <f t="shared" si="2"/>
        <v/>
      </c>
      <c r="O142" s="12"/>
    </row>
    <row r="143" spans="2:15" x14ac:dyDescent="0.25">
      <c r="B143" t="str">
        <f>IF(A143="","",_xlfn.XLOOKUP(A143,MAQUINAS!$A$3:$A$55,MAQUINAS!$B$3:$B$55,"No encontrada"))</f>
        <v/>
      </c>
      <c r="C143" s="5"/>
      <c r="D143" s="5"/>
      <c r="E143" s="4" t="str">
        <f t="shared" si="2"/>
        <v/>
      </c>
      <c r="O143" s="12"/>
    </row>
    <row r="144" spans="2:15" x14ac:dyDescent="0.25">
      <c r="B144" t="str">
        <f>IF(A144="","",_xlfn.XLOOKUP(A144,MAQUINAS!$A$3:$A$55,MAQUINAS!$B$3:$B$55,"No encontrada"))</f>
        <v/>
      </c>
      <c r="C144" s="5"/>
      <c r="D144" s="5"/>
      <c r="E144" s="4" t="str">
        <f t="shared" si="2"/>
        <v/>
      </c>
      <c r="O144" s="12"/>
    </row>
    <row r="145" spans="2:15" x14ac:dyDescent="0.25">
      <c r="B145" t="str">
        <f>IF(A145="","",_xlfn.XLOOKUP(A145,MAQUINAS!$A$3:$A$55,MAQUINAS!$B$3:$B$55,"No encontrada"))</f>
        <v/>
      </c>
      <c r="C145" s="5"/>
      <c r="D145" s="5"/>
      <c r="E145" s="4" t="str">
        <f t="shared" si="2"/>
        <v/>
      </c>
      <c r="O145" s="12"/>
    </row>
    <row r="146" spans="2:15" x14ac:dyDescent="0.25">
      <c r="B146" t="str">
        <f>IF(A146="","",_xlfn.XLOOKUP(A146,MAQUINAS!$A$3:$A$55,MAQUINAS!$B$3:$B$55,"No encontrada"))</f>
        <v/>
      </c>
      <c r="C146" s="5"/>
      <c r="D146" s="5"/>
      <c r="E146" s="4" t="str">
        <f t="shared" si="2"/>
        <v/>
      </c>
      <c r="O146" s="12"/>
    </row>
    <row r="147" spans="2:15" x14ac:dyDescent="0.25">
      <c r="B147" t="str">
        <f>IF(A147="","",_xlfn.XLOOKUP(A147,MAQUINAS!$A$3:$A$55,MAQUINAS!$B$3:$B$55,"No encontrada"))</f>
        <v/>
      </c>
      <c r="C147" s="5"/>
      <c r="D147" s="5"/>
      <c r="E147" s="4" t="str">
        <f t="shared" si="2"/>
        <v/>
      </c>
      <c r="O147" s="12"/>
    </row>
    <row r="148" spans="2:15" x14ac:dyDescent="0.25">
      <c r="B148" t="str">
        <f>IF(A148="","",_xlfn.XLOOKUP(A148,MAQUINAS!$A$3:$A$55,MAQUINAS!$B$3:$B$55,"No encontrada"))</f>
        <v/>
      </c>
      <c r="C148" s="5"/>
      <c r="D148" s="5"/>
      <c r="E148" s="4" t="str">
        <f t="shared" si="2"/>
        <v/>
      </c>
      <c r="O148" s="12"/>
    </row>
    <row r="149" spans="2:15" x14ac:dyDescent="0.25">
      <c r="B149" t="str">
        <f>IF(A149="","",_xlfn.XLOOKUP(A149,MAQUINAS!$A$3:$A$55,MAQUINAS!$B$3:$B$55,"No encontrada"))</f>
        <v/>
      </c>
      <c r="C149" s="5"/>
      <c r="D149" s="5"/>
      <c r="E149" s="4" t="str">
        <f t="shared" si="2"/>
        <v/>
      </c>
      <c r="O149" s="12"/>
    </row>
    <row r="150" spans="2:15" x14ac:dyDescent="0.25">
      <c r="B150" t="str">
        <f>IF(A150="","",_xlfn.XLOOKUP(A150,MAQUINAS!$A$3:$A$55,MAQUINAS!$B$3:$B$55,"No encontrada"))</f>
        <v/>
      </c>
      <c r="C150" s="5"/>
      <c r="D150" s="5"/>
      <c r="E150" s="4" t="str">
        <f t="shared" si="2"/>
        <v/>
      </c>
      <c r="O150" s="12"/>
    </row>
    <row r="151" spans="2:15" x14ac:dyDescent="0.25">
      <c r="B151" t="str">
        <f>IF(A151="","",_xlfn.XLOOKUP(A151,MAQUINAS!$A$3:$A$55,MAQUINAS!$B$3:$B$55,"No encontrada"))</f>
        <v/>
      </c>
      <c r="C151" s="5"/>
      <c r="D151" s="5"/>
      <c r="E151" s="4" t="str">
        <f t="shared" si="2"/>
        <v/>
      </c>
      <c r="O151" s="12"/>
    </row>
    <row r="152" spans="2:15" x14ac:dyDescent="0.25">
      <c r="B152" t="str">
        <f>IF(A152="","",_xlfn.XLOOKUP(A152,MAQUINAS!$A$3:$A$55,MAQUINAS!$B$3:$B$55,"No encontrada"))</f>
        <v/>
      </c>
      <c r="C152" s="5"/>
      <c r="D152" s="5"/>
      <c r="E152" s="4" t="str">
        <f t="shared" si="2"/>
        <v/>
      </c>
      <c r="O152" s="12"/>
    </row>
    <row r="153" spans="2:15" x14ac:dyDescent="0.25">
      <c r="B153" t="str">
        <f>IF(A153="","",_xlfn.XLOOKUP(A153,MAQUINAS!$A$3:$A$55,MAQUINAS!$B$3:$B$55,"No encontrada"))</f>
        <v/>
      </c>
      <c r="C153" s="5"/>
      <c r="D153" s="5"/>
      <c r="E153" s="4" t="str">
        <f t="shared" si="2"/>
        <v/>
      </c>
      <c r="O153" s="12"/>
    </row>
    <row r="154" spans="2:15" x14ac:dyDescent="0.25">
      <c r="B154" t="str">
        <f>IF(A154="","",_xlfn.XLOOKUP(A154,MAQUINAS!$A$3:$A$55,MAQUINAS!$B$3:$B$55,"No encontrada"))</f>
        <v/>
      </c>
      <c r="C154" s="5"/>
      <c r="D154" s="5"/>
      <c r="E154" s="4" t="str">
        <f t="shared" si="2"/>
        <v/>
      </c>
      <c r="O154" s="12"/>
    </row>
    <row r="155" spans="2:15" x14ac:dyDescent="0.25">
      <c r="B155" t="str">
        <f>IF(A155="","",_xlfn.XLOOKUP(A155,MAQUINAS!$A$3:$A$55,MAQUINAS!$B$3:$B$55,"No encontrada"))</f>
        <v/>
      </c>
      <c r="C155" s="5"/>
      <c r="D155" s="5"/>
      <c r="E155" s="4" t="str">
        <f t="shared" si="2"/>
        <v/>
      </c>
      <c r="O155" s="12"/>
    </row>
    <row r="156" spans="2:15" x14ac:dyDescent="0.25">
      <c r="B156" t="str">
        <f>IF(A156="","",_xlfn.XLOOKUP(A156,MAQUINAS!$A$3:$A$55,MAQUINAS!$B$3:$B$55,"No encontrada"))</f>
        <v/>
      </c>
      <c r="C156" s="5"/>
      <c r="D156" s="5"/>
      <c r="E156" s="4" t="str">
        <f t="shared" si="2"/>
        <v/>
      </c>
      <c r="O156" s="12"/>
    </row>
    <row r="157" spans="2:15" x14ac:dyDescent="0.25">
      <c r="B157" t="str">
        <f>IF(A157="","",_xlfn.XLOOKUP(A157,MAQUINAS!$A$3:$A$55,MAQUINAS!$B$3:$B$55,"No encontrada"))</f>
        <v/>
      </c>
      <c r="C157" s="5"/>
      <c r="D157" s="5"/>
      <c r="E157" s="4" t="str">
        <f t="shared" si="2"/>
        <v/>
      </c>
      <c r="O157" s="12"/>
    </row>
    <row r="158" spans="2:15" x14ac:dyDescent="0.25">
      <c r="B158" t="str">
        <f>IF(A158="","",_xlfn.XLOOKUP(A158,MAQUINAS!$A$3:$A$55,MAQUINAS!$B$3:$B$55,"No encontrada"))</f>
        <v/>
      </c>
      <c r="C158" s="5"/>
      <c r="D158" s="5"/>
      <c r="E158" s="4" t="str">
        <f t="shared" si="2"/>
        <v/>
      </c>
      <c r="O158" s="12"/>
    </row>
    <row r="159" spans="2:15" x14ac:dyDescent="0.25">
      <c r="B159" t="str">
        <f>IF(A159="","",_xlfn.XLOOKUP(A159,MAQUINAS!$A$3:$A$55,MAQUINAS!$B$3:$B$55,"No encontrada"))</f>
        <v/>
      </c>
      <c r="C159" s="5"/>
      <c r="D159" s="5"/>
      <c r="E159" s="4" t="str">
        <f t="shared" si="2"/>
        <v/>
      </c>
      <c r="O159" s="12"/>
    </row>
    <row r="160" spans="2:15" x14ac:dyDescent="0.25">
      <c r="B160" t="str">
        <f>IF(A160="","",_xlfn.XLOOKUP(A160,MAQUINAS!$A$3:$A$55,MAQUINAS!$B$3:$B$55,"No encontrada"))</f>
        <v/>
      </c>
      <c r="C160" s="5"/>
      <c r="D160" s="5"/>
      <c r="E160" s="4" t="str">
        <f t="shared" si="2"/>
        <v/>
      </c>
      <c r="O160" s="12"/>
    </row>
    <row r="161" spans="2:15" x14ac:dyDescent="0.25">
      <c r="B161" t="str">
        <f>IF(A161="","",_xlfn.XLOOKUP(A161,MAQUINAS!$A$3:$A$55,MAQUINAS!$B$3:$B$55,"No encontrada"))</f>
        <v/>
      </c>
      <c r="C161" s="5"/>
      <c r="D161" s="5"/>
      <c r="E161" s="4" t="str">
        <f t="shared" si="2"/>
        <v/>
      </c>
      <c r="O161" s="12"/>
    </row>
    <row r="162" spans="2:15" x14ac:dyDescent="0.25">
      <c r="B162" t="str">
        <f>IF(A162="","",_xlfn.XLOOKUP(A162,MAQUINAS!$A$3:$A$55,MAQUINAS!$B$3:$B$55,"No encontrada"))</f>
        <v/>
      </c>
      <c r="C162" s="5"/>
      <c r="D162" s="5"/>
      <c r="E162" s="4" t="str">
        <f t="shared" si="2"/>
        <v/>
      </c>
      <c r="O162" s="12"/>
    </row>
    <row r="163" spans="2:15" x14ac:dyDescent="0.25">
      <c r="B163" t="str">
        <f>IF(A163="","",_xlfn.XLOOKUP(A163,MAQUINAS!$A$3:$A$55,MAQUINAS!$B$3:$B$55,"No encontrada"))</f>
        <v/>
      </c>
      <c r="C163" s="5"/>
      <c r="D163" s="5"/>
      <c r="E163" s="4" t="str">
        <f t="shared" si="2"/>
        <v/>
      </c>
      <c r="O163" s="12"/>
    </row>
    <row r="164" spans="2:15" x14ac:dyDescent="0.25">
      <c r="B164" t="str">
        <f>IF(A164="","",_xlfn.XLOOKUP(A164,MAQUINAS!$A$3:$A$55,MAQUINAS!$B$3:$B$55,"No encontrada"))</f>
        <v/>
      </c>
      <c r="C164" s="5"/>
      <c r="D164" s="5"/>
      <c r="E164" s="4" t="str">
        <f t="shared" si="2"/>
        <v/>
      </c>
      <c r="O164" s="12"/>
    </row>
    <row r="165" spans="2:15" x14ac:dyDescent="0.25">
      <c r="B165" t="str">
        <f>IF(A165="","",_xlfn.XLOOKUP(A165,MAQUINAS!$A$3:$A$55,MAQUINAS!$B$3:$B$55,"No encontrada"))</f>
        <v/>
      </c>
      <c r="C165" s="5"/>
      <c r="D165" s="5"/>
      <c r="E165" s="4" t="str">
        <f t="shared" si="2"/>
        <v/>
      </c>
      <c r="O165" s="12"/>
    </row>
    <row r="166" spans="2:15" x14ac:dyDescent="0.25">
      <c r="B166" t="str">
        <f>IF(A166="","",_xlfn.XLOOKUP(A166,MAQUINAS!$A$3:$A$55,MAQUINAS!$B$3:$B$55,"No encontrada"))</f>
        <v/>
      </c>
      <c r="C166" s="5"/>
      <c r="D166" s="5"/>
      <c r="E166" s="4" t="str">
        <f t="shared" si="2"/>
        <v/>
      </c>
      <c r="O166" s="12"/>
    </row>
    <row r="167" spans="2:15" x14ac:dyDescent="0.25">
      <c r="B167" t="str">
        <f>IF(A167="","",_xlfn.XLOOKUP(A167,MAQUINAS!$A$3:$A$55,MAQUINAS!$B$3:$B$55,"No encontrada"))</f>
        <v/>
      </c>
      <c r="C167" s="5"/>
      <c r="D167" s="5"/>
      <c r="E167" s="4" t="str">
        <f t="shared" si="2"/>
        <v/>
      </c>
      <c r="O167" s="12"/>
    </row>
    <row r="168" spans="2:15" x14ac:dyDescent="0.25">
      <c r="B168" t="str">
        <f>IF(A168="","",_xlfn.XLOOKUP(A168,MAQUINAS!$A$3:$A$55,MAQUINAS!$B$3:$B$55,"No encontrada"))</f>
        <v/>
      </c>
      <c r="C168" s="5"/>
      <c r="D168" s="5"/>
      <c r="E168" s="4" t="str">
        <f t="shared" si="2"/>
        <v/>
      </c>
      <c r="O168" s="12"/>
    </row>
    <row r="169" spans="2:15" x14ac:dyDescent="0.25">
      <c r="B169" t="str">
        <f>IF(A169="","",_xlfn.XLOOKUP(A169,MAQUINAS!$A$3:$A$55,MAQUINAS!$B$3:$B$55,"No encontrada"))</f>
        <v/>
      </c>
      <c r="C169" s="5"/>
      <c r="D169" s="5"/>
      <c r="E169" s="4" t="str">
        <f t="shared" si="2"/>
        <v/>
      </c>
      <c r="O169" s="12"/>
    </row>
    <row r="170" spans="2:15" x14ac:dyDescent="0.25">
      <c r="B170" t="str">
        <f>IF(A170="","",_xlfn.XLOOKUP(A170,MAQUINAS!$A$3:$A$55,MAQUINAS!$B$3:$B$55,"No encontrada"))</f>
        <v/>
      </c>
      <c r="C170" s="5"/>
      <c r="D170" s="5"/>
      <c r="E170" s="4" t="str">
        <f t="shared" si="2"/>
        <v/>
      </c>
      <c r="O170" s="12"/>
    </row>
    <row r="171" spans="2:15" x14ac:dyDescent="0.25">
      <c r="B171" t="str">
        <f>IF(A171="","",_xlfn.XLOOKUP(A171,MAQUINAS!$A$3:$A$55,MAQUINAS!$B$3:$B$55,"No encontrada"))</f>
        <v/>
      </c>
      <c r="C171" s="5"/>
      <c r="D171" s="5"/>
      <c r="E171" s="4" t="str">
        <f t="shared" si="2"/>
        <v/>
      </c>
      <c r="O171" s="12"/>
    </row>
    <row r="172" spans="2:15" x14ac:dyDescent="0.25">
      <c r="B172" t="str">
        <f>IF(A172="","",_xlfn.XLOOKUP(A172,MAQUINAS!$A$3:$A$55,MAQUINAS!$B$3:$B$55,"No encontrada"))</f>
        <v/>
      </c>
      <c r="C172" s="5"/>
      <c r="D172" s="5"/>
      <c r="E172" s="4" t="str">
        <f t="shared" si="2"/>
        <v/>
      </c>
      <c r="O172" s="12"/>
    </row>
    <row r="173" spans="2:15" x14ac:dyDescent="0.25">
      <c r="B173" t="str">
        <f>IF(A173="","",_xlfn.XLOOKUP(A173,MAQUINAS!$A$3:$A$55,MAQUINAS!$B$3:$B$55,"No encontrada"))</f>
        <v/>
      </c>
      <c r="C173" s="5"/>
      <c r="D173" s="5"/>
      <c r="E173" s="4" t="str">
        <f t="shared" si="2"/>
        <v/>
      </c>
      <c r="O173" s="12"/>
    </row>
    <row r="174" spans="2:15" x14ac:dyDescent="0.25">
      <c r="B174" t="str">
        <f>IF(A174="","",_xlfn.XLOOKUP(A174,MAQUINAS!$A$3:$A$55,MAQUINAS!$B$3:$B$55,"No encontrada"))</f>
        <v/>
      </c>
      <c r="C174" s="5"/>
      <c r="D174" s="5"/>
      <c r="E174" s="4" t="str">
        <f t="shared" si="2"/>
        <v/>
      </c>
      <c r="O174" s="12"/>
    </row>
    <row r="175" spans="2:15" x14ac:dyDescent="0.25">
      <c r="B175" t="str">
        <f>IF(A175="","",_xlfn.XLOOKUP(A175,MAQUINAS!$A$3:$A$55,MAQUINAS!$B$3:$B$55,"No encontrada"))</f>
        <v/>
      </c>
      <c r="C175" s="5"/>
      <c r="D175" s="5"/>
      <c r="E175" s="4" t="str">
        <f t="shared" si="2"/>
        <v/>
      </c>
      <c r="O175" s="12"/>
    </row>
    <row r="176" spans="2:15" x14ac:dyDescent="0.25">
      <c r="B176" t="str">
        <f>IF(A176="","",_xlfn.XLOOKUP(A176,MAQUINAS!$A$3:$A$55,MAQUINAS!$B$3:$B$55,"No encontrada"))</f>
        <v/>
      </c>
      <c r="C176" s="5"/>
      <c r="D176" s="5"/>
      <c r="E176" s="4" t="str">
        <f t="shared" si="2"/>
        <v/>
      </c>
      <c r="O176" s="12"/>
    </row>
    <row r="177" spans="2:15" x14ac:dyDescent="0.25">
      <c r="B177" t="str">
        <f>IF(A177="","",_xlfn.XLOOKUP(A177,MAQUINAS!$A$3:$A$55,MAQUINAS!$B$3:$B$55,"No encontrada"))</f>
        <v/>
      </c>
      <c r="C177" s="5"/>
      <c r="D177" s="5"/>
      <c r="E177" s="4" t="str">
        <f t="shared" si="2"/>
        <v/>
      </c>
      <c r="O177" s="12"/>
    </row>
    <row r="178" spans="2:15" x14ac:dyDescent="0.25">
      <c r="B178" t="str">
        <f>IF(A178="","",_xlfn.XLOOKUP(A178,MAQUINAS!$A$3:$A$55,MAQUINAS!$B$3:$B$55,"No encontrada"))</f>
        <v/>
      </c>
      <c r="C178" s="5"/>
      <c r="D178" s="5"/>
      <c r="E178" s="4" t="str">
        <f t="shared" si="2"/>
        <v/>
      </c>
      <c r="O178" s="12"/>
    </row>
    <row r="179" spans="2:15" x14ac:dyDescent="0.25">
      <c r="B179" t="str">
        <f>IF(A179="","",_xlfn.XLOOKUP(A179,MAQUINAS!$A$3:$A$55,MAQUINAS!$B$3:$B$55,"No encontrada"))</f>
        <v/>
      </c>
      <c r="C179" s="5"/>
      <c r="D179" s="5"/>
      <c r="E179" s="4" t="str">
        <f t="shared" si="2"/>
        <v/>
      </c>
      <c r="O179" s="12"/>
    </row>
    <row r="180" spans="2:15" x14ac:dyDescent="0.25">
      <c r="B180" t="str">
        <f>IF(A180="","",_xlfn.XLOOKUP(A180,MAQUINAS!$A$3:$A$55,MAQUINAS!$B$3:$B$55,"No encontrada"))</f>
        <v/>
      </c>
      <c r="C180" s="5"/>
      <c r="D180" s="5"/>
      <c r="E180" s="4" t="str">
        <f t="shared" si="2"/>
        <v/>
      </c>
      <c r="O180" s="12"/>
    </row>
    <row r="181" spans="2:15" x14ac:dyDescent="0.25">
      <c r="B181" t="str">
        <f>IF(A181="","",_xlfn.XLOOKUP(A181,MAQUINAS!$A$3:$A$55,MAQUINAS!$B$3:$B$55,"No encontrada"))</f>
        <v/>
      </c>
      <c r="C181" s="5"/>
      <c r="D181" s="5"/>
      <c r="E181" s="4" t="str">
        <f t="shared" si="2"/>
        <v/>
      </c>
      <c r="O181" s="12"/>
    </row>
    <row r="182" spans="2:15" x14ac:dyDescent="0.25">
      <c r="B182" t="str">
        <f>IF(A182="","",_xlfn.XLOOKUP(A182,MAQUINAS!$A$3:$A$55,MAQUINAS!$B$3:$B$55,"No encontrada"))</f>
        <v/>
      </c>
      <c r="C182" s="5"/>
      <c r="D182" s="5"/>
      <c r="E182" s="4" t="str">
        <f t="shared" si="2"/>
        <v/>
      </c>
      <c r="O182" s="12"/>
    </row>
    <row r="183" spans="2:15" x14ac:dyDescent="0.25">
      <c r="B183" t="str">
        <f>IF(A183="","",_xlfn.XLOOKUP(A183,MAQUINAS!$A$3:$A$55,MAQUINAS!$B$3:$B$55,"No encontrada"))</f>
        <v/>
      </c>
      <c r="C183" s="5"/>
      <c r="D183" s="5"/>
      <c r="E183" s="4" t="str">
        <f t="shared" si="2"/>
        <v/>
      </c>
      <c r="O183" s="12"/>
    </row>
    <row r="184" spans="2:15" x14ac:dyDescent="0.25">
      <c r="B184" t="str">
        <f>IF(A184="","",_xlfn.XLOOKUP(A184,MAQUINAS!$A$3:$A$55,MAQUINAS!$B$3:$B$55,"No encontrada"))</f>
        <v/>
      </c>
      <c r="C184" s="5"/>
      <c r="D184" s="5"/>
      <c r="E184" s="4" t="str">
        <f t="shared" si="2"/>
        <v/>
      </c>
      <c r="O184" s="12"/>
    </row>
    <row r="185" spans="2:15" x14ac:dyDescent="0.25">
      <c r="B185" t="str">
        <f>IF(A185="","",_xlfn.XLOOKUP(A185,MAQUINAS!$A$3:$A$55,MAQUINAS!$B$3:$B$55,"No encontrada"))</f>
        <v/>
      </c>
      <c r="C185" s="5"/>
      <c r="D185" s="5"/>
      <c r="E185" s="4" t="str">
        <f t="shared" si="2"/>
        <v/>
      </c>
      <c r="O185" s="12"/>
    </row>
    <row r="186" spans="2:15" x14ac:dyDescent="0.25">
      <c r="B186" t="str">
        <f>IF(A186="","",_xlfn.XLOOKUP(A186,MAQUINAS!$A$3:$A$55,MAQUINAS!$B$3:$B$55,"No encontrada"))</f>
        <v/>
      </c>
      <c r="C186" s="5"/>
      <c r="D186" s="5"/>
      <c r="E186" s="4" t="str">
        <f t="shared" si="2"/>
        <v/>
      </c>
      <c r="O186" s="12"/>
    </row>
    <row r="187" spans="2:15" x14ac:dyDescent="0.25">
      <c r="B187" t="str">
        <f>IF(A187="","",_xlfn.XLOOKUP(A187,MAQUINAS!$A$3:$A$55,MAQUINAS!$B$3:$B$55,"No encontrada"))</f>
        <v/>
      </c>
      <c r="C187" s="5"/>
      <c r="D187" s="5"/>
      <c r="E187" s="4" t="str">
        <f t="shared" si="2"/>
        <v/>
      </c>
      <c r="O187" s="12"/>
    </row>
    <row r="188" spans="2:15" x14ac:dyDescent="0.25">
      <c r="B188" t="str">
        <f>IF(A188="","",_xlfn.XLOOKUP(A188,MAQUINAS!$A$3:$A$55,MAQUINAS!$B$3:$B$55,"No encontrada"))</f>
        <v/>
      </c>
      <c r="C188" s="5"/>
      <c r="D188" s="5"/>
      <c r="E188" s="4" t="str">
        <f t="shared" si="2"/>
        <v/>
      </c>
      <c r="O188" s="12"/>
    </row>
    <row r="189" spans="2:15" x14ac:dyDescent="0.25">
      <c r="B189" t="str">
        <f>IF(A189="","",_xlfn.XLOOKUP(A189,MAQUINAS!$A$3:$A$55,MAQUINAS!$B$3:$B$55,"No encontrada"))</f>
        <v/>
      </c>
      <c r="C189" s="5"/>
      <c r="D189" s="5"/>
      <c r="E189" s="4" t="str">
        <f t="shared" si="2"/>
        <v/>
      </c>
      <c r="O189" s="12"/>
    </row>
    <row r="190" spans="2:15" x14ac:dyDescent="0.25">
      <c r="B190" t="str">
        <f>IF(A190="","",_xlfn.XLOOKUP(A190,MAQUINAS!$A$3:$A$55,MAQUINAS!$B$3:$B$55,"No encontrada"))</f>
        <v/>
      </c>
      <c r="C190" s="5"/>
      <c r="D190" s="5"/>
      <c r="E190" s="4" t="str">
        <f t="shared" si="2"/>
        <v/>
      </c>
      <c r="O190" s="12"/>
    </row>
    <row r="191" spans="2:15" x14ac:dyDescent="0.25">
      <c r="B191" t="str">
        <f>IF(A191="","",_xlfn.XLOOKUP(A191,MAQUINAS!$A$3:$A$55,MAQUINAS!$B$3:$B$55,"No encontrada"))</f>
        <v/>
      </c>
      <c r="C191" s="5"/>
      <c r="D191" s="5"/>
      <c r="E191" s="4" t="str">
        <f t="shared" si="2"/>
        <v/>
      </c>
      <c r="O191" s="12"/>
    </row>
    <row r="192" spans="2:15" x14ac:dyDescent="0.25">
      <c r="B192" t="str">
        <f>IF(A192="","",_xlfn.XLOOKUP(A192,MAQUINAS!$A$3:$A$55,MAQUINAS!$B$3:$B$55,"No encontrada"))</f>
        <v/>
      </c>
      <c r="C192" s="5"/>
      <c r="D192" s="5"/>
      <c r="E192" s="4" t="str">
        <f t="shared" si="2"/>
        <v/>
      </c>
      <c r="O192" s="12"/>
    </row>
    <row r="193" spans="2:15" x14ac:dyDescent="0.25">
      <c r="B193" t="str">
        <f>IF(A193="","",_xlfn.XLOOKUP(A193,MAQUINAS!$A$3:$A$55,MAQUINAS!$B$3:$B$55,"No encontrada"))</f>
        <v/>
      </c>
      <c r="C193" s="5"/>
      <c r="D193" s="5"/>
      <c r="E193" s="4" t="str">
        <f t="shared" si="2"/>
        <v/>
      </c>
      <c r="O193" s="12"/>
    </row>
    <row r="194" spans="2:15" x14ac:dyDescent="0.25">
      <c r="B194" t="str">
        <f>IF(A194="","",_xlfn.XLOOKUP(A194,MAQUINAS!$A$3:$A$55,MAQUINAS!$B$3:$B$55,"No encontrada"))</f>
        <v/>
      </c>
      <c r="C194" s="5"/>
      <c r="D194" s="5"/>
      <c r="E194" s="4" t="str">
        <f t="shared" si="2"/>
        <v/>
      </c>
      <c r="O194" s="12"/>
    </row>
    <row r="195" spans="2:15" x14ac:dyDescent="0.25">
      <c r="B195" t="str">
        <f>IF(A195="","",_xlfn.XLOOKUP(A195,MAQUINAS!$A$3:$A$55,MAQUINAS!$B$3:$B$55,"No encontrada"))</f>
        <v/>
      </c>
      <c r="C195" s="5"/>
      <c r="D195" s="5"/>
      <c r="E195" s="4" t="str">
        <f t="shared" ref="E195:E258" si="3">IF(OR(C195="",D195=""),"",MOD(D195-C195,1))</f>
        <v/>
      </c>
      <c r="O195" s="12"/>
    </row>
    <row r="196" spans="2:15" x14ac:dyDescent="0.25">
      <c r="B196" t="str">
        <f>IF(A196="","",_xlfn.XLOOKUP(A196,MAQUINAS!$A$3:$A$55,MAQUINAS!$B$3:$B$55,"No encontrada"))</f>
        <v/>
      </c>
      <c r="C196" s="5"/>
      <c r="D196" s="5"/>
      <c r="E196" s="4" t="str">
        <f t="shared" si="3"/>
        <v/>
      </c>
      <c r="O196" s="12"/>
    </row>
    <row r="197" spans="2:15" x14ac:dyDescent="0.25">
      <c r="B197" t="str">
        <f>IF(A197="","",_xlfn.XLOOKUP(A197,MAQUINAS!$A$3:$A$55,MAQUINAS!$B$3:$B$55,"No encontrada"))</f>
        <v/>
      </c>
      <c r="C197" s="5"/>
      <c r="D197" s="5"/>
      <c r="E197" s="4" t="str">
        <f t="shared" si="3"/>
        <v/>
      </c>
      <c r="O197" s="12"/>
    </row>
    <row r="198" spans="2:15" x14ac:dyDescent="0.25">
      <c r="B198" t="str">
        <f>IF(A198="","",_xlfn.XLOOKUP(A198,MAQUINAS!$A$3:$A$55,MAQUINAS!$B$3:$B$55,"No encontrada"))</f>
        <v/>
      </c>
      <c r="C198" s="5"/>
      <c r="D198" s="5"/>
      <c r="E198" s="4" t="str">
        <f t="shared" si="3"/>
        <v/>
      </c>
      <c r="O198" s="12"/>
    </row>
    <row r="199" spans="2:15" x14ac:dyDescent="0.25">
      <c r="B199" t="str">
        <f>IF(A199="","",_xlfn.XLOOKUP(A199,MAQUINAS!$A$3:$A$55,MAQUINAS!$B$3:$B$55,"No encontrada"))</f>
        <v/>
      </c>
      <c r="C199" s="5"/>
      <c r="D199" s="5"/>
      <c r="E199" s="4" t="str">
        <f t="shared" si="3"/>
        <v/>
      </c>
      <c r="O199" s="12"/>
    </row>
    <row r="200" spans="2:15" x14ac:dyDescent="0.25">
      <c r="B200" t="str">
        <f>IF(A200="","",_xlfn.XLOOKUP(A200,MAQUINAS!$A$3:$A$55,MAQUINAS!$B$3:$B$55,"No encontrada"))</f>
        <v/>
      </c>
      <c r="C200" s="5"/>
      <c r="D200" s="5"/>
      <c r="E200" s="4" t="str">
        <f t="shared" si="3"/>
        <v/>
      </c>
      <c r="O200" s="12"/>
    </row>
    <row r="201" spans="2:15" x14ac:dyDescent="0.25">
      <c r="B201" t="str">
        <f>IF(A201="","",_xlfn.XLOOKUP(A201,MAQUINAS!$A$3:$A$55,MAQUINAS!$B$3:$B$55,"No encontrada"))</f>
        <v/>
      </c>
      <c r="C201" s="5"/>
      <c r="D201" s="5"/>
      <c r="E201" s="4" t="str">
        <f t="shared" si="3"/>
        <v/>
      </c>
      <c r="O201" s="12"/>
    </row>
    <row r="202" spans="2:15" x14ac:dyDescent="0.25">
      <c r="B202" t="str">
        <f>IF(A202="","",_xlfn.XLOOKUP(A202,MAQUINAS!$A$3:$A$55,MAQUINAS!$B$3:$B$55,"No encontrada"))</f>
        <v/>
      </c>
      <c r="C202" s="5"/>
      <c r="D202" s="5"/>
      <c r="E202" s="4" t="str">
        <f t="shared" si="3"/>
        <v/>
      </c>
      <c r="O202" s="12"/>
    </row>
    <row r="203" spans="2:15" x14ac:dyDescent="0.25">
      <c r="B203" t="str">
        <f>IF(A203="","",_xlfn.XLOOKUP(A203,MAQUINAS!$A$3:$A$55,MAQUINAS!$B$3:$B$55,"No encontrada"))</f>
        <v/>
      </c>
      <c r="C203" s="5"/>
      <c r="D203" s="5"/>
      <c r="E203" s="4" t="str">
        <f t="shared" si="3"/>
        <v/>
      </c>
      <c r="O203" s="12"/>
    </row>
    <row r="204" spans="2:15" x14ac:dyDescent="0.25">
      <c r="B204" t="str">
        <f>IF(A204="","",_xlfn.XLOOKUP(A204,MAQUINAS!$A$3:$A$55,MAQUINAS!$B$3:$B$55,"No encontrada"))</f>
        <v/>
      </c>
      <c r="C204" s="5"/>
      <c r="D204" s="5"/>
      <c r="E204" s="4" t="str">
        <f t="shared" si="3"/>
        <v/>
      </c>
      <c r="O204" s="12"/>
    </row>
    <row r="205" spans="2:15" x14ac:dyDescent="0.25">
      <c r="B205" t="str">
        <f>IF(A205="","",_xlfn.XLOOKUP(A205,MAQUINAS!$A$3:$A$55,MAQUINAS!$B$3:$B$55,"No encontrada"))</f>
        <v/>
      </c>
      <c r="C205" s="5"/>
      <c r="D205" s="5"/>
      <c r="E205" s="4" t="str">
        <f t="shared" si="3"/>
        <v/>
      </c>
      <c r="O205" s="12"/>
    </row>
    <row r="206" spans="2:15" x14ac:dyDescent="0.25">
      <c r="B206" t="str">
        <f>IF(A206="","",_xlfn.XLOOKUP(A206,MAQUINAS!$A$3:$A$55,MAQUINAS!$B$3:$B$55,"No encontrada"))</f>
        <v/>
      </c>
      <c r="C206" s="5"/>
      <c r="D206" s="5"/>
      <c r="E206" s="4" t="str">
        <f t="shared" si="3"/>
        <v/>
      </c>
      <c r="O206" s="12"/>
    </row>
    <row r="207" spans="2:15" x14ac:dyDescent="0.25">
      <c r="B207" t="str">
        <f>IF(A207="","",_xlfn.XLOOKUP(A207,MAQUINAS!$A$3:$A$55,MAQUINAS!$B$3:$B$55,"No encontrada"))</f>
        <v/>
      </c>
      <c r="C207" s="5"/>
      <c r="D207" s="5"/>
      <c r="E207" s="4" t="str">
        <f t="shared" si="3"/>
        <v/>
      </c>
      <c r="O207" s="12"/>
    </row>
    <row r="208" spans="2:15" x14ac:dyDescent="0.25">
      <c r="B208" t="str">
        <f>IF(A208="","",_xlfn.XLOOKUP(A208,MAQUINAS!$A$3:$A$55,MAQUINAS!$B$3:$B$55,"No encontrada"))</f>
        <v/>
      </c>
      <c r="C208" s="5"/>
      <c r="D208" s="5"/>
      <c r="E208" s="4" t="str">
        <f t="shared" si="3"/>
        <v/>
      </c>
      <c r="O208" s="12"/>
    </row>
    <row r="209" spans="2:15" x14ac:dyDescent="0.25">
      <c r="B209" t="str">
        <f>IF(A209="","",_xlfn.XLOOKUP(A209,MAQUINAS!$A$3:$A$55,MAQUINAS!$B$3:$B$55,"No encontrada"))</f>
        <v/>
      </c>
      <c r="C209" s="5"/>
      <c r="D209" s="5"/>
      <c r="E209" s="4" t="str">
        <f t="shared" si="3"/>
        <v/>
      </c>
      <c r="O209" s="12"/>
    </row>
    <row r="210" spans="2:15" x14ac:dyDescent="0.25">
      <c r="B210" t="str">
        <f>IF(A210="","",_xlfn.XLOOKUP(A210,MAQUINAS!$A$3:$A$55,MAQUINAS!$B$3:$B$55,"No encontrada"))</f>
        <v/>
      </c>
      <c r="C210" s="5"/>
      <c r="D210" s="5"/>
      <c r="E210" s="4" t="str">
        <f t="shared" si="3"/>
        <v/>
      </c>
      <c r="O210" s="12"/>
    </row>
    <row r="211" spans="2:15" x14ac:dyDescent="0.25">
      <c r="B211" t="str">
        <f>IF(A211="","",_xlfn.XLOOKUP(A211,MAQUINAS!$A$3:$A$55,MAQUINAS!$B$3:$B$55,"No encontrada"))</f>
        <v/>
      </c>
      <c r="C211" s="5"/>
      <c r="D211" s="5"/>
      <c r="E211" s="4" t="str">
        <f t="shared" si="3"/>
        <v/>
      </c>
      <c r="O211" s="12"/>
    </row>
    <row r="212" spans="2:15" x14ac:dyDescent="0.25">
      <c r="B212" t="str">
        <f>IF(A212="","",_xlfn.XLOOKUP(A212,MAQUINAS!$A$3:$A$55,MAQUINAS!$B$3:$B$55,"No encontrada"))</f>
        <v/>
      </c>
      <c r="C212" s="5"/>
      <c r="D212" s="5"/>
      <c r="E212" s="4" t="str">
        <f t="shared" si="3"/>
        <v/>
      </c>
      <c r="O212" s="12"/>
    </row>
    <row r="213" spans="2:15" x14ac:dyDescent="0.25">
      <c r="B213" t="str">
        <f>IF(A213="","",_xlfn.XLOOKUP(A213,MAQUINAS!$A$3:$A$55,MAQUINAS!$B$3:$B$55,"No encontrada"))</f>
        <v/>
      </c>
      <c r="C213" s="5"/>
      <c r="D213" s="5"/>
      <c r="E213" s="4" t="str">
        <f t="shared" si="3"/>
        <v/>
      </c>
      <c r="O213" s="12"/>
    </row>
    <row r="214" spans="2:15" x14ac:dyDescent="0.25">
      <c r="B214" t="str">
        <f>IF(A214="","",_xlfn.XLOOKUP(A214,MAQUINAS!$A$3:$A$55,MAQUINAS!$B$3:$B$55,"No encontrada"))</f>
        <v/>
      </c>
      <c r="C214" s="5"/>
      <c r="D214" s="5"/>
      <c r="E214" s="4" t="str">
        <f t="shared" si="3"/>
        <v/>
      </c>
      <c r="O214" s="12"/>
    </row>
    <row r="215" spans="2:15" x14ac:dyDescent="0.25">
      <c r="B215" t="str">
        <f>IF(A215="","",_xlfn.XLOOKUP(A215,MAQUINAS!$A$3:$A$55,MAQUINAS!$B$3:$B$55,"No encontrada"))</f>
        <v/>
      </c>
      <c r="C215" s="5"/>
      <c r="D215" s="5"/>
      <c r="E215" s="4" t="str">
        <f t="shared" si="3"/>
        <v/>
      </c>
      <c r="O215" s="12"/>
    </row>
    <row r="216" spans="2:15" x14ac:dyDescent="0.25">
      <c r="B216" t="str">
        <f>IF(A216="","",_xlfn.XLOOKUP(A216,MAQUINAS!$A$3:$A$55,MAQUINAS!$B$3:$B$55,"No encontrada"))</f>
        <v/>
      </c>
      <c r="C216" s="5"/>
      <c r="D216" s="5"/>
      <c r="E216" s="4" t="str">
        <f t="shared" si="3"/>
        <v/>
      </c>
      <c r="O216" s="12"/>
    </row>
    <row r="217" spans="2:15" x14ac:dyDescent="0.25">
      <c r="B217" t="str">
        <f>IF(A217="","",_xlfn.XLOOKUP(A217,MAQUINAS!$A$3:$A$55,MAQUINAS!$B$3:$B$55,"No encontrada"))</f>
        <v/>
      </c>
      <c r="C217" s="5"/>
      <c r="D217" s="5"/>
      <c r="E217" s="4" t="str">
        <f t="shared" si="3"/>
        <v/>
      </c>
      <c r="O217" s="12"/>
    </row>
    <row r="218" spans="2:15" x14ac:dyDescent="0.25">
      <c r="B218" t="str">
        <f>IF(A218="","",_xlfn.XLOOKUP(A218,MAQUINAS!$A$3:$A$55,MAQUINAS!$B$3:$B$55,"No encontrada"))</f>
        <v/>
      </c>
      <c r="C218" s="5"/>
      <c r="D218" s="5"/>
      <c r="E218" s="4" t="str">
        <f t="shared" si="3"/>
        <v/>
      </c>
      <c r="O218" s="12"/>
    </row>
    <row r="219" spans="2:15" x14ac:dyDescent="0.25">
      <c r="B219" t="str">
        <f>IF(A219="","",_xlfn.XLOOKUP(A219,MAQUINAS!$A$3:$A$55,MAQUINAS!$B$3:$B$55,"No encontrada"))</f>
        <v/>
      </c>
      <c r="C219" s="5"/>
      <c r="D219" s="5"/>
      <c r="E219" s="4" t="str">
        <f t="shared" si="3"/>
        <v/>
      </c>
      <c r="O219" s="12"/>
    </row>
    <row r="220" spans="2:15" x14ac:dyDescent="0.25">
      <c r="B220" t="str">
        <f>IF(A220="","",_xlfn.XLOOKUP(A220,MAQUINAS!$A$3:$A$55,MAQUINAS!$B$3:$B$55,"No encontrada"))</f>
        <v/>
      </c>
      <c r="C220" s="5"/>
      <c r="D220" s="5"/>
      <c r="E220" s="4" t="str">
        <f t="shared" si="3"/>
        <v/>
      </c>
      <c r="O220" s="12"/>
    </row>
    <row r="221" spans="2:15" x14ac:dyDescent="0.25">
      <c r="B221" t="str">
        <f>IF(A221="","",_xlfn.XLOOKUP(A221,MAQUINAS!$A$3:$A$55,MAQUINAS!$B$3:$B$55,"No encontrada"))</f>
        <v/>
      </c>
      <c r="C221" s="5"/>
      <c r="D221" s="5"/>
      <c r="E221" s="4" t="str">
        <f t="shared" si="3"/>
        <v/>
      </c>
      <c r="O221" s="12"/>
    </row>
    <row r="222" spans="2:15" x14ac:dyDescent="0.25">
      <c r="B222" t="str">
        <f>IF(A222="","",_xlfn.XLOOKUP(A222,MAQUINAS!$A$3:$A$55,MAQUINAS!$B$3:$B$55,"No encontrada"))</f>
        <v/>
      </c>
      <c r="C222" s="5"/>
      <c r="D222" s="5"/>
      <c r="E222" s="4" t="str">
        <f t="shared" si="3"/>
        <v/>
      </c>
      <c r="O222" s="12"/>
    </row>
    <row r="223" spans="2:15" x14ac:dyDescent="0.25">
      <c r="B223" t="str">
        <f>IF(A223="","",_xlfn.XLOOKUP(A223,MAQUINAS!$A$3:$A$55,MAQUINAS!$B$3:$B$55,"No encontrada"))</f>
        <v/>
      </c>
      <c r="C223" s="5"/>
      <c r="D223" s="5"/>
      <c r="E223" s="4" t="str">
        <f t="shared" si="3"/>
        <v/>
      </c>
      <c r="O223" s="12"/>
    </row>
    <row r="224" spans="2:15" x14ac:dyDescent="0.25">
      <c r="B224" t="str">
        <f>IF(A224="","",_xlfn.XLOOKUP(A224,MAQUINAS!$A$3:$A$55,MAQUINAS!$B$3:$B$55,"No encontrada"))</f>
        <v/>
      </c>
      <c r="C224" s="5"/>
      <c r="D224" s="5"/>
      <c r="E224" s="4" t="str">
        <f t="shared" si="3"/>
        <v/>
      </c>
      <c r="O224" s="12"/>
    </row>
    <row r="225" spans="2:15" x14ac:dyDescent="0.25">
      <c r="B225" t="str">
        <f>IF(A225="","",_xlfn.XLOOKUP(A225,MAQUINAS!$A$3:$A$55,MAQUINAS!$B$3:$B$55,"No encontrada"))</f>
        <v/>
      </c>
      <c r="C225" s="5"/>
      <c r="D225" s="5"/>
      <c r="E225" s="4" t="str">
        <f t="shared" si="3"/>
        <v/>
      </c>
      <c r="O225" s="12"/>
    </row>
    <row r="226" spans="2:15" x14ac:dyDescent="0.25">
      <c r="B226" t="str">
        <f>IF(A226="","",_xlfn.XLOOKUP(A226,MAQUINAS!$A$3:$A$55,MAQUINAS!$B$3:$B$55,"No encontrada"))</f>
        <v/>
      </c>
      <c r="C226" s="5"/>
      <c r="D226" s="5"/>
      <c r="E226" s="4" t="str">
        <f t="shared" si="3"/>
        <v/>
      </c>
      <c r="O226" s="12"/>
    </row>
    <row r="227" spans="2:15" x14ac:dyDescent="0.25">
      <c r="B227" t="str">
        <f>IF(A227="","",_xlfn.XLOOKUP(A227,MAQUINAS!$A$3:$A$55,MAQUINAS!$B$3:$B$55,"No encontrada"))</f>
        <v/>
      </c>
      <c r="C227" s="5"/>
      <c r="D227" s="5"/>
      <c r="E227" s="4" t="str">
        <f t="shared" si="3"/>
        <v/>
      </c>
      <c r="O227" s="12"/>
    </row>
    <row r="228" spans="2:15" x14ac:dyDescent="0.25">
      <c r="B228" t="str">
        <f>IF(A228="","",_xlfn.XLOOKUP(A228,MAQUINAS!$A$3:$A$55,MAQUINAS!$B$3:$B$55,"No encontrada"))</f>
        <v/>
      </c>
      <c r="C228" s="5"/>
      <c r="D228" s="5"/>
      <c r="E228" s="4" t="str">
        <f t="shared" si="3"/>
        <v/>
      </c>
      <c r="O228" s="12"/>
    </row>
    <row r="229" spans="2:15" x14ac:dyDescent="0.25">
      <c r="B229" t="str">
        <f>IF(A229="","",_xlfn.XLOOKUP(A229,MAQUINAS!$A$3:$A$55,MAQUINAS!$B$3:$B$55,"No encontrada"))</f>
        <v/>
      </c>
      <c r="C229" s="5"/>
      <c r="D229" s="5"/>
      <c r="E229" s="4" t="str">
        <f t="shared" si="3"/>
        <v/>
      </c>
      <c r="O229" s="12"/>
    </row>
    <row r="230" spans="2:15" x14ac:dyDescent="0.25">
      <c r="B230" t="str">
        <f>IF(A230="","",_xlfn.XLOOKUP(A230,MAQUINAS!$A$3:$A$55,MAQUINAS!$B$3:$B$55,"No encontrada"))</f>
        <v/>
      </c>
      <c r="C230" s="5"/>
      <c r="D230" s="5"/>
      <c r="E230" s="4" t="str">
        <f t="shared" si="3"/>
        <v/>
      </c>
      <c r="O230" s="12"/>
    </row>
    <row r="231" spans="2:15" x14ac:dyDescent="0.25">
      <c r="B231" t="str">
        <f>IF(A231="","",_xlfn.XLOOKUP(A231,MAQUINAS!$A$3:$A$55,MAQUINAS!$B$3:$B$55,"No encontrada"))</f>
        <v/>
      </c>
      <c r="C231" s="5"/>
      <c r="D231" s="5"/>
      <c r="E231" s="4" t="str">
        <f t="shared" si="3"/>
        <v/>
      </c>
      <c r="O231" s="12"/>
    </row>
    <row r="232" spans="2:15" x14ac:dyDescent="0.25">
      <c r="B232" t="str">
        <f>IF(A232="","",_xlfn.XLOOKUP(A232,MAQUINAS!$A$3:$A$55,MAQUINAS!$B$3:$B$55,"No encontrada"))</f>
        <v/>
      </c>
      <c r="C232" s="5"/>
      <c r="D232" s="5"/>
      <c r="E232" s="4" t="str">
        <f t="shared" si="3"/>
        <v/>
      </c>
      <c r="O232" s="12"/>
    </row>
    <row r="233" spans="2:15" x14ac:dyDescent="0.25">
      <c r="B233" t="str">
        <f>IF(A233="","",_xlfn.XLOOKUP(A233,MAQUINAS!$A$3:$A$55,MAQUINAS!$B$3:$B$55,"No encontrada"))</f>
        <v/>
      </c>
      <c r="C233" s="5"/>
      <c r="D233" s="5"/>
      <c r="E233" s="4" t="str">
        <f t="shared" si="3"/>
        <v/>
      </c>
      <c r="O233" s="12"/>
    </row>
    <row r="234" spans="2:15" x14ac:dyDescent="0.25">
      <c r="B234" t="str">
        <f>IF(A234="","",_xlfn.XLOOKUP(A234,MAQUINAS!$A$3:$A$55,MAQUINAS!$B$3:$B$55,"No encontrada"))</f>
        <v/>
      </c>
      <c r="C234" s="5"/>
      <c r="D234" s="5"/>
      <c r="E234" s="4" t="str">
        <f t="shared" si="3"/>
        <v/>
      </c>
      <c r="O234" s="12"/>
    </row>
    <row r="235" spans="2:15" x14ac:dyDescent="0.25">
      <c r="B235" t="str">
        <f>IF(A235="","",_xlfn.XLOOKUP(A235,MAQUINAS!$A$3:$A$55,MAQUINAS!$B$3:$B$55,"No encontrada"))</f>
        <v/>
      </c>
      <c r="C235" s="5"/>
      <c r="D235" s="5"/>
      <c r="E235" s="4" t="str">
        <f t="shared" si="3"/>
        <v/>
      </c>
      <c r="O235" s="12"/>
    </row>
    <row r="236" spans="2:15" x14ac:dyDescent="0.25">
      <c r="B236" t="str">
        <f>IF(A236="","",_xlfn.XLOOKUP(A236,MAQUINAS!$A$3:$A$55,MAQUINAS!$B$3:$B$55,"No encontrada"))</f>
        <v/>
      </c>
      <c r="C236" s="5"/>
      <c r="D236" s="5"/>
      <c r="E236" s="4" t="str">
        <f t="shared" si="3"/>
        <v/>
      </c>
      <c r="O236" s="12"/>
    </row>
    <row r="237" spans="2:15" x14ac:dyDescent="0.25">
      <c r="B237" t="str">
        <f>IF(A237="","",_xlfn.XLOOKUP(A237,MAQUINAS!$A$3:$A$55,MAQUINAS!$B$3:$B$55,"No encontrada"))</f>
        <v/>
      </c>
      <c r="C237" s="5"/>
      <c r="D237" s="5"/>
      <c r="E237" s="4" t="str">
        <f t="shared" si="3"/>
        <v/>
      </c>
      <c r="O237" s="12"/>
    </row>
    <row r="238" spans="2:15" x14ac:dyDescent="0.25">
      <c r="B238" t="str">
        <f>IF(A238="","",_xlfn.XLOOKUP(A238,MAQUINAS!$A$3:$A$55,MAQUINAS!$B$3:$B$55,"No encontrada"))</f>
        <v/>
      </c>
      <c r="C238" s="5"/>
      <c r="D238" s="5"/>
      <c r="E238" s="4" t="str">
        <f t="shared" si="3"/>
        <v/>
      </c>
      <c r="O238" s="12"/>
    </row>
    <row r="239" spans="2:15" x14ac:dyDescent="0.25">
      <c r="B239" t="str">
        <f>IF(A239="","",_xlfn.XLOOKUP(A239,MAQUINAS!$A$3:$A$55,MAQUINAS!$B$3:$B$55,"No encontrada"))</f>
        <v/>
      </c>
      <c r="C239" s="5"/>
      <c r="D239" s="5"/>
      <c r="E239" s="4" t="str">
        <f t="shared" si="3"/>
        <v/>
      </c>
      <c r="O239" s="12"/>
    </row>
    <row r="240" spans="2:15" x14ac:dyDescent="0.25">
      <c r="B240" t="str">
        <f>IF(A240="","",_xlfn.XLOOKUP(A240,MAQUINAS!$A$3:$A$55,MAQUINAS!$B$3:$B$55,"No encontrada"))</f>
        <v/>
      </c>
      <c r="C240" s="5"/>
      <c r="D240" s="5"/>
      <c r="E240" s="4" t="str">
        <f t="shared" si="3"/>
        <v/>
      </c>
      <c r="O240" s="12"/>
    </row>
    <row r="241" spans="2:15" x14ac:dyDescent="0.25">
      <c r="B241" t="str">
        <f>IF(A241="","",_xlfn.XLOOKUP(A241,MAQUINAS!$A$3:$A$55,MAQUINAS!$B$3:$B$55,"No encontrada"))</f>
        <v/>
      </c>
      <c r="C241" s="5"/>
      <c r="D241" s="5"/>
      <c r="E241" s="4" t="str">
        <f t="shared" si="3"/>
        <v/>
      </c>
      <c r="O241" s="12"/>
    </row>
    <row r="242" spans="2:15" x14ac:dyDescent="0.25">
      <c r="B242" t="str">
        <f>IF(A242="","",_xlfn.XLOOKUP(A242,MAQUINAS!$A$3:$A$55,MAQUINAS!$B$3:$B$55,"No encontrada"))</f>
        <v/>
      </c>
      <c r="C242" s="5"/>
      <c r="D242" s="5"/>
      <c r="E242" s="4" t="str">
        <f t="shared" si="3"/>
        <v/>
      </c>
      <c r="O242" s="12"/>
    </row>
    <row r="243" spans="2:15" x14ac:dyDescent="0.25">
      <c r="B243" t="str">
        <f>IF(A243="","",_xlfn.XLOOKUP(A243,MAQUINAS!$A$3:$A$55,MAQUINAS!$B$3:$B$55,"No encontrada"))</f>
        <v/>
      </c>
      <c r="C243" s="5"/>
      <c r="D243" s="5"/>
      <c r="E243" s="4" t="str">
        <f t="shared" si="3"/>
        <v/>
      </c>
      <c r="O243" s="12"/>
    </row>
    <row r="244" spans="2:15" x14ac:dyDescent="0.25">
      <c r="B244" t="str">
        <f>IF(A244="","",_xlfn.XLOOKUP(A244,MAQUINAS!$A$3:$A$55,MAQUINAS!$B$3:$B$55,"No encontrada"))</f>
        <v/>
      </c>
      <c r="C244" s="5"/>
      <c r="D244" s="5"/>
      <c r="E244" s="4" t="str">
        <f t="shared" si="3"/>
        <v/>
      </c>
      <c r="O244" s="12"/>
    </row>
    <row r="245" spans="2:15" x14ac:dyDescent="0.25">
      <c r="B245" t="str">
        <f>IF(A245="","",_xlfn.XLOOKUP(A245,MAQUINAS!$A$3:$A$55,MAQUINAS!$B$3:$B$55,"No encontrada"))</f>
        <v/>
      </c>
      <c r="C245" s="5"/>
      <c r="D245" s="5"/>
      <c r="E245" s="4" t="str">
        <f t="shared" si="3"/>
        <v/>
      </c>
      <c r="O245" s="12"/>
    </row>
    <row r="246" spans="2:15" x14ac:dyDescent="0.25">
      <c r="B246" t="str">
        <f>IF(A246="","",_xlfn.XLOOKUP(A246,MAQUINAS!$A$3:$A$55,MAQUINAS!$B$3:$B$55,"No encontrada"))</f>
        <v/>
      </c>
      <c r="C246" s="5"/>
      <c r="D246" s="5"/>
      <c r="E246" s="4" t="str">
        <f t="shared" si="3"/>
        <v/>
      </c>
      <c r="O246" s="12"/>
    </row>
    <row r="247" spans="2:15" x14ac:dyDescent="0.25">
      <c r="B247" t="str">
        <f>IF(A247="","",_xlfn.XLOOKUP(A247,MAQUINAS!$A$3:$A$55,MAQUINAS!$B$3:$B$55,"No encontrada"))</f>
        <v/>
      </c>
      <c r="C247" s="5"/>
      <c r="D247" s="5"/>
      <c r="E247" s="4" t="str">
        <f t="shared" si="3"/>
        <v/>
      </c>
      <c r="O247" s="12"/>
    </row>
    <row r="248" spans="2:15" x14ac:dyDescent="0.25">
      <c r="B248" t="str">
        <f>IF(A248="","",_xlfn.XLOOKUP(A248,MAQUINAS!$A$3:$A$55,MAQUINAS!$B$3:$B$55,"No encontrada"))</f>
        <v/>
      </c>
      <c r="C248" s="5"/>
      <c r="D248" s="5"/>
      <c r="E248" s="4" t="str">
        <f t="shared" si="3"/>
        <v/>
      </c>
      <c r="O248" s="12"/>
    </row>
    <row r="249" spans="2:15" x14ac:dyDescent="0.25">
      <c r="B249" t="str">
        <f>IF(A249="","",_xlfn.XLOOKUP(A249,MAQUINAS!$A$3:$A$55,MAQUINAS!$B$3:$B$55,"No encontrada"))</f>
        <v/>
      </c>
      <c r="C249" s="5"/>
      <c r="D249" s="5"/>
      <c r="E249" s="4" t="str">
        <f t="shared" si="3"/>
        <v/>
      </c>
      <c r="O249" s="12"/>
    </row>
    <row r="250" spans="2:15" x14ac:dyDescent="0.25">
      <c r="B250" t="str">
        <f>IF(A250="","",_xlfn.XLOOKUP(A250,MAQUINAS!$A$3:$A$55,MAQUINAS!$B$3:$B$55,"No encontrada"))</f>
        <v/>
      </c>
      <c r="C250" s="5"/>
      <c r="D250" s="5"/>
      <c r="E250" s="4" t="str">
        <f t="shared" si="3"/>
        <v/>
      </c>
      <c r="O250" s="12"/>
    </row>
    <row r="251" spans="2:15" x14ac:dyDescent="0.25">
      <c r="B251" t="str">
        <f>IF(A251="","",_xlfn.XLOOKUP(A251,MAQUINAS!$A$3:$A$55,MAQUINAS!$B$3:$B$55,"No encontrada"))</f>
        <v/>
      </c>
      <c r="C251" s="5"/>
      <c r="D251" s="5"/>
      <c r="E251" s="4" t="str">
        <f t="shared" si="3"/>
        <v/>
      </c>
      <c r="O251" s="12"/>
    </row>
    <row r="252" spans="2:15" x14ac:dyDescent="0.25">
      <c r="B252" t="str">
        <f>IF(A252="","",_xlfn.XLOOKUP(A252,MAQUINAS!$A$3:$A$55,MAQUINAS!$B$3:$B$55,"No encontrada"))</f>
        <v/>
      </c>
      <c r="C252" s="5"/>
      <c r="D252" s="5"/>
      <c r="E252" s="4" t="str">
        <f t="shared" si="3"/>
        <v/>
      </c>
      <c r="O252" s="12"/>
    </row>
    <row r="253" spans="2:15" x14ac:dyDescent="0.25">
      <c r="B253" t="str">
        <f>IF(A253="","",_xlfn.XLOOKUP(A253,MAQUINAS!$A$3:$A$55,MAQUINAS!$B$3:$B$55,"No encontrada"))</f>
        <v/>
      </c>
      <c r="C253" s="5"/>
      <c r="D253" s="5"/>
      <c r="E253" s="4" t="str">
        <f t="shared" si="3"/>
        <v/>
      </c>
      <c r="O253" s="12"/>
    </row>
    <row r="254" spans="2:15" x14ac:dyDescent="0.25">
      <c r="B254" t="str">
        <f>IF(A254="","",_xlfn.XLOOKUP(A254,MAQUINAS!$A$3:$A$55,MAQUINAS!$B$3:$B$55,"No encontrada"))</f>
        <v/>
      </c>
      <c r="C254" s="5"/>
      <c r="D254" s="5"/>
      <c r="E254" s="4" t="str">
        <f t="shared" si="3"/>
        <v/>
      </c>
      <c r="O254" s="12"/>
    </row>
    <row r="255" spans="2:15" x14ac:dyDescent="0.25">
      <c r="B255" t="str">
        <f>IF(A255="","",_xlfn.XLOOKUP(A255,MAQUINAS!$A$3:$A$55,MAQUINAS!$B$3:$B$55,"No encontrada"))</f>
        <v/>
      </c>
      <c r="C255" s="5"/>
      <c r="D255" s="5"/>
      <c r="E255" s="4" t="str">
        <f t="shared" si="3"/>
        <v/>
      </c>
      <c r="O255" s="12"/>
    </row>
    <row r="256" spans="2:15" x14ac:dyDescent="0.25">
      <c r="B256" t="str">
        <f>IF(A256="","",_xlfn.XLOOKUP(A256,MAQUINAS!$A$3:$A$55,MAQUINAS!$B$3:$B$55,"No encontrada"))</f>
        <v/>
      </c>
      <c r="C256" s="5"/>
      <c r="D256" s="5"/>
      <c r="E256" s="4" t="str">
        <f t="shared" si="3"/>
        <v/>
      </c>
      <c r="O256" s="12"/>
    </row>
    <row r="257" spans="2:15" x14ac:dyDescent="0.25">
      <c r="B257" t="str">
        <f>IF(A257="","",_xlfn.XLOOKUP(A257,MAQUINAS!$A$3:$A$55,MAQUINAS!$B$3:$B$55,"No encontrada"))</f>
        <v/>
      </c>
      <c r="C257" s="5"/>
      <c r="D257" s="5"/>
      <c r="E257" s="4" t="str">
        <f t="shared" si="3"/>
        <v/>
      </c>
      <c r="O257" s="12"/>
    </row>
    <row r="258" spans="2:15" x14ac:dyDescent="0.25">
      <c r="B258" t="str">
        <f>IF(A258="","",_xlfn.XLOOKUP(A258,MAQUINAS!$A$3:$A$55,MAQUINAS!$B$3:$B$55,"No encontrada"))</f>
        <v/>
      </c>
      <c r="C258" s="5"/>
      <c r="D258" s="5"/>
      <c r="E258" s="4" t="str">
        <f t="shared" si="3"/>
        <v/>
      </c>
      <c r="O258" s="12"/>
    </row>
    <row r="259" spans="2:15" x14ac:dyDescent="0.25">
      <c r="B259" t="str">
        <f>IF(A259="","",_xlfn.XLOOKUP(A259,MAQUINAS!$A$3:$A$55,MAQUINAS!$B$3:$B$55,"No encontrada"))</f>
        <v/>
      </c>
      <c r="C259" s="5"/>
      <c r="D259" s="5"/>
      <c r="E259" s="4" t="str">
        <f t="shared" ref="E259:E322" si="4">IF(OR(C259="",D259=""),"",MOD(D259-C259,1))</f>
        <v/>
      </c>
      <c r="O259" s="12"/>
    </row>
    <row r="260" spans="2:15" x14ac:dyDescent="0.25">
      <c r="B260" t="str">
        <f>IF(A260="","",_xlfn.XLOOKUP(A260,MAQUINAS!$A$3:$A$55,MAQUINAS!$B$3:$B$55,"No encontrada"))</f>
        <v/>
      </c>
      <c r="C260" s="5"/>
      <c r="D260" s="5"/>
      <c r="E260" s="4" t="str">
        <f t="shared" si="4"/>
        <v/>
      </c>
      <c r="O260" s="12"/>
    </row>
    <row r="261" spans="2:15" x14ac:dyDescent="0.25">
      <c r="B261" t="str">
        <f>IF(A261="","",_xlfn.XLOOKUP(A261,MAQUINAS!$A$3:$A$55,MAQUINAS!$B$3:$B$55,"No encontrada"))</f>
        <v/>
      </c>
      <c r="C261" s="5"/>
      <c r="D261" s="5"/>
      <c r="E261" s="4" t="str">
        <f t="shared" si="4"/>
        <v/>
      </c>
      <c r="O261" s="12"/>
    </row>
    <row r="262" spans="2:15" x14ac:dyDescent="0.25">
      <c r="B262" t="str">
        <f>IF(A262="","",_xlfn.XLOOKUP(A262,MAQUINAS!$A$3:$A$55,MAQUINAS!$B$3:$B$55,"No encontrada"))</f>
        <v/>
      </c>
      <c r="C262" s="5"/>
      <c r="D262" s="5"/>
      <c r="E262" s="4" t="str">
        <f t="shared" si="4"/>
        <v/>
      </c>
      <c r="O262" s="12"/>
    </row>
    <row r="263" spans="2:15" x14ac:dyDescent="0.25">
      <c r="B263" t="str">
        <f>IF(A263="","",_xlfn.XLOOKUP(A263,MAQUINAS!$A$3:$A$55,MAQUINAS!$B$3:$B$55,"No encontrada"))</f>
        <v/>
      </c>
      <c r="C263" s="5"/>
      <c r="D263" s="5"/>
      <c r="E263" s="4" t="str">
        <f t="shared" si="4"/>
        <v/>
      </c>
      <c r="O263" s="12"/>
    </row>
    <row r="264" spans="2:15" x14ac:dyDescent="0.25">
      <c r="B264" t="str">
        <f>IF(A264="","",_xlfn.XLOOKUP(A264,MAQUINAS!$A$3:$A$55,MAQUINAS!$B$3:$B$55,"No encontrada"))</f>
        <v/>
      </c>
      <c r="C264" s="5"/>
      <c r="D264" s="5"/>
      <c r="E264" s="4" t="str">
        <f t="shared" si="4"/>
        <v/>
      </c>
      <c r="O264" s="12"/>
    </row>
    <row r="265" spans="2:15" x14ac:dyDescent="0.25">
      <c r="B265" t="str">
        <f>IF(A265="","",_xlfn.XLOOKUP(A265,MAQUINAS!$A$3:$A$55,MAQUINAS!$B$3:$B$55,"No encontrada"))</f>
        <v/>
      </c>
      <c r="C265" s="5"/>
      <c r="D265" s="5"/>
      <c r="E265" s="4" t="str">
        <f t="shared" si="4"/>
        <v/>
      </c>
      <c r="O265" s="12"/>
    </row>
    <row r="266" spans="2:15" x14ac:dyDescent="0.25">
      <c r="B266" t="str">
        <f>IF(A266="","",_xlfn.XLOOKUP(A266,MAQUINAS!$A$3:$A$55,MAQUINAS!$B$3:$B$55,"No encontrada"))</f>
        <v/>
      </c>
      <c r="C266" s="5"/>
      <c r="D266" s="5"/>
      <c r="E266" s="4" t="str">
        <f t="shared" si="4"/>
        <v/>
      </c>
      <c r="O266" s="12"/>
    </row>
    <row r="267" spans="2:15" x14ac:dyDescent="0.25">
      <c r="B267" t="str">
        <f>IF(A267="","",_xlfn.XLOOKUP(A267,MAQUINAS!$A$3:$A$55,MAQUINAS!$B$3:$B$55,"No encontrada"))</f>
        <v/>
      </c>
      <c r="C267" s="5"/>
      <c r="D267" s="5"/>
      <c r="E267" s="4" t="str">
        <f t="shared" si="4"/>
        <v/>
      </c>
      <c r="O267" s="12"/>
    </row>
    <row r="268" spans="2:15" x14ac:dyDescent="0.25">
      <c r="B268" t="str">
        <f>IF(A268="","",_xlfn.XLOOKUP(A268,MAQUINAS!$A$3:$A$55,MAQUINAS!$B$3:$B$55,"No encontrada"))</f>
        <v/>
      </c>
      <c r="C268" s="5"/>
      <c r="D268" s="5"/>
      <c r="E268" s="4" t="str">
        <f t="shared" si="4"/>
        <v/>
      </c>
      <c r="O268" s="12"/>
    </row>
    <row r="269" spans="2:15" x14ac:dyDescent="0.25">
      <c r="B269" t="str">
        <f>IF(A269="","",_xlfn.XLOOKUP(A269,MAQUINAS!$A$3:$A$55,MAQUINAS!$B$3:$B$55,"No encontrada"))</f>
        <v/>
      </c>
      <c r="C269" s="5"/>
      <c r="D269" s="5"/>
      <c r="E269" s="4" t="str">
        <f t="shared" si="4"/>
        <v/>
      </c>
      <c r="O269" s="12"/>
    </row>
    <row r="270" spans="2:15" x14ac:dyDescent="0.25">
      <c r="B270" t="str">
        <f>IF(A270="","",_xlfn.XLOOKUP(A270,MAQUINAS!$A$3:$A$55,MAQUINAS!$B$3:$B$55,"No encontrada"))</f>
        <v/>
      </c>
      <c r="C270" s="5"/>
      <c r="D270" s="5"/>
      <c r="E270" s="4" t="str">
        <f t="shared" si="4"/>
        <v/>
      </c>
      <c r="O270" s="12"/>
    </row>
    <row r="271" spans="2:15" x14ac:dyDescent="0.25">
      <c r="B271" t="str">
        <f>IF(A271="","",_xlfn.XLOOKUP(A271,MAQUINAS!$A$3:$A$55,MAQUINAS!$B$3:$B$55,"No encontrada"))</f>
        <v/>
      </c>
      <c r="C271" s="5"/>
      <c r="D271" s="5"/>
      <c r="E271" s="4" t="str">
        <f t="shared" si="4"/>
        <v/>
      </c>
      <c r="O271" s="12"/>
    </row>
    <row r="272" spans="2:15" x14ac:dyDescent="0.25">
      <c r="B272" t="str">
        <f>IF(A272="","",_xlfn.XLOOKUP(A272,MAQUINAS!$A$3:$A$55,MAQUINAS!$B$3:$B$55,"No encontrada"))</f>
        <v/>
      </c>
      <c r="C272" s="5"/>
      <c r="D272" s="5"/>
      <c r="E272" s="4" t="str">
        <f t="shared" si="4"/>
        <v/>
      </c>
      <c r="O272" s="12"/>
    </row>
    <row r="273" spans="2:15" x14ac:dyDescent="0.25">
      <c r="B273" t="str">
        <f>IF(A273="","",_xlfn.XLOOKUP(A273,MAQUINAS!$A$3:$A$55,MAQUINAS!$B$3:$B$55,"No encontrada"))</f>
        <v/>
      </c>
      <c r="C273" s="5"/>
      <c r="D273" s="5"/>
      <c r="E273" s="4" t="str">
        <f t="shared" si="4"/>
        <v/>
      </c>
      <c r="O273" s="12"/>
    </row>
    <row r="274" spans="2:15" x14ac:dyDescent="0.25">
      <c r="B274" t="str">
        <f>IF(A274="","",_xlfn.XLOOKUP(A274,MAQUINAS!$A$3:$A$55,MAQUINAS!$B$3:$B$55,"No encontrada"))</f>
        <v/>
      </c>
      <c r="C274" s="5"/>
      <c r="D274" s="5"/>
      <c r="E274" s="4" t="str">
        <f t="shared" si="4"/>
        <v/>
      </c>
      <c r="O274" s="12"/>
    </row>
    <row r="275" spans="2:15" x14ac:dyDescent="0.25">
      <c r="B275" t="str">
        <f>IF(A275="","",_xlfn.XLOOKUP(A275,MAQUINAS!$A$3:$A$55,MAQUINAS!$B$3:$B$55,"No encontrada"))</f>
        <v/>
      </c>
      <c r="C275" s="5"/>
      <c r="D275" s="5"/>
      <c r="E275" s="4" t="str">
        <f t="shared" si="4"/>
        <v/>
      </c>
      <c r="O275" s="12"/>
    </row>
    <row r="276" spans="2:15" x14ac:dyDescent="0.25">
      <c r="B276" t="str">
        <f>IF(A276="","",_xlfn.XLOOKUP(A276,MAQUINAS!$A$3:$A$55,MAQUINAS!$B$3:$B$55,"No encontrada"))</f>
        <v/>
      </c>
      <c r="C276" s="5"/>
      <c r="D276" s="5"/>
      <c r="E276" s="4" t="str">
        <f t="shared" si="4"/>
        <v/>
      </c>
      <c r="O276" s="12"/>
    </row>
    <row r="277" spans="2:15" x14ac:dyDescent="0.25">
      <c r="B277" t="str">
        <f>IF(A277="","",_xlfn.XLOOKUP(A277,MAQUINAS!$A$3:$A$55,MAQUINAS!$B$3:$B$55,"No encontrada"))</f>
        <v/>
      </c>
      <c r="C277" s="5"/>
      <c r="D277" s="5"/>
      <c r="E277" s="4" t="str">
        <f t="shared" si="4"/>
        <v/>
      </c>
      <c r="O277" s="12"/>
    </row>
    <row r="278" spans="2:15" x14ac:dyDescent="0.25">
      <c r="B278" t="str">
        <f>IF(A278="","",_xlfn.XLOOKUP(A278,MAQUINAS!$A$3:$A$55,MAQUINAS!$B$3:$B$55,"No encontrada"))</f>
        <v/>
      </c>
      <c r="C278" s="5"/>
      <c r="D278" s="5"/>
      <c r="E278" s="4" t="str">
        <f t="shared" si="4"/>
        <v/>
      </c>
      <c r="O278" s="12"/>
    </row>
    <row r="279" spans="2:15" x14ac:dyDescent="0.25">
      <c r="B279" t="str">
        <f>IF(A279="","",_xlfn.XLOOKUP(A279,MAQUINAS!$A$3:$A$55,MAQUINAS!$B$3:$B$55,"No encontrada"))</f>
        <v/>
      </c>
      <c r="C279" s="5"/>
      <c r="D279" s="5"/>
      <c r="E279" s="4" t="str">
        <f t="shared" si="4"/>
        <v/>
      </c>
      <c r="O279" s="12"/>
    </row>
    <row r="280" spans="2:15" x14ac:dyDescent="0.25">
      <c r="B280" t="str">
        <f>IF(A280="","",_xlfn.XLOOKUP(A280,MAQUINAS!$A$3:$A$55,MAQUINAS!$B$3:$B$55,"No encontrada"))</f>
        <v/>
      </c>
      <c r="C280" s="5"/>
      <c r="D280" s="5"/>
      <c r="E280" s="4" t="str">
        <f t="shared" si="4"/>
        <v/>
      </c>
      <c r="O280" s="12"/>
    </row>
    <row r="281" spans="2:15" x14ac:dyDescent="0.25">
      <c r="B281" t="str">
        <f>IF(A281="","",_xlfn.XLOOKUP(A281,MAQUINAS!$A$3:$A$55,MAQUINAS!$B$3:$B$55,"No encontrada"))</f>
        <v/>
      </c>
      <c r="C281" s="5"/>
      <c r="D281" s="5"/>
      <c r="E281" s="4" t="str">
        <f t="shared" si="4"/>
        <v/>
      </c>
      <c r="O281" s="12"/>
    </row>
    <row r="282" spans="2:15" x14ac:dyDescent="0.25">
      <c r="B282" t="str">
        <f>IF(A282="","",_xlfn.XLOOKUP(A282,MAQUINAS!$A$3:$A$55,MAQUINAS!$B$3:$B$55,"No encontrada"))</f>
        <v/>
      </c>
      <c r="C282" s="5"/>
      <c r="D282" s="5"/>
      <c r="E282" s="4" t="str">
        <f t="shared" si="4"/>
        <v/>
      </c>
      <c r="O282" s="12"/>
    </row>
    <row r="283" spans="2:15" x14ac:dyDescent="0.25">
      <c r="B283" t="str">
        <f>IF(A283="","",_xlfn.XLOOKUP(A283,MAQUINAS!$A$3:$A$55,MAQUINAS!$B$3:$B$55,"No encontrada"))</f>
        <v/>
      </c>
      <c r="C283" s="5"/>
      <c r="D283" s="5"/>
      <c r="E283" s="4" t="str">
        <f t="shared" si="4"/>
        <v/>
      </c>
      <c r="O283" s="12"/>
    </row>
    <row r="284" spans="2:15" x14ac:dyDescent="0.25">
      <c r="B284" t="str">
        <f>IF(A284="","",_xlfn.XLOOKUP(A284,MAQUINAS!$A$3:$A$55,MAQUINAS!$B$3:$B$55,"No encontrada"))</f>
        <v/>
      </c>
      <c r="C284" s="5"/>
      <c r="D284" s="5"/>
      <c r="E284" s="4" t="str">
        <f t="shared" si="4"/>
        <v/>
      </c>
      <c r="O284" s="12"/>
    </row>
    <row r="285" spans="2:15" x14ac:dyDescent="0.25">
      <c r="B285" t="str">
        <f>IF(A285="","",_xlfn.XLOOKUP(A285,MAQUINAS!$A$3:$A$55,MAQUINAS!$B$3:$B$55,"No encontrada"))</f>
        <v/>
      </c>
      <c r="C285" s="5"/>
      <c r="D285" s="5"/>
      <c r="E285" s="4" t="str">
        <f t="shared" si="4"/>
        <v/>
      </c>
      <c r="O285" s="12"/>
    </row>
    <row r="286" spans="2:15" x14ac:dyDescent="0.25">
      <c r="B286" t="str">
        <f>IF(A286="","",_xlfn.XLOOKUP(A286,MAQUINAS!$A$3:$A$55,MAQUINAS!$B$3:$B$55,"No encontrada"))</f>
        <v/>
      </c>
      <c r="C286" s="5"/>
      <c r="D286" s="5"/>
      <c r="E286" s="4" t="str">
        <f t="shared" si="4"/>
        <v/>
      </c>
      <c r="O286" s="12"/>
    </row>
    <row r="287" spans="2:15" x14ac:dyDescent="0.25">
      <c r="B287" t="str">
        <f>IF(A287="","",_xlfn.XLOOKUP(A287,MAQUINAS!$A$3:$A$55,MAQUINAS!$B$3:$B$55,"No encontrada"))</f>
        <v/>
      </c>
      <c r="C287" s="5"/>
      <c r="D287" s="5"/>
      <c r="E287" s="4" t="str">
        <f t="shared" si="4"/>
        <v/>
      </c>
      <c r="O287" s="12"/>
    </row>
    <row r="288" spans="2:15" x14ac:dyDescent="0.25">
      <c r="B288" t="str">
        <f>IF(A288="","",_xlfn.XLOOKUP(A288,MAQUINAS!$A$3:$A$55,MAQUINAS!$B$3:$B$55,"No encontrada"))</f>
        <v/>
      </c>
      <c r="C288" s="5"/>
      <c r="D288" s="5"/>
      <c r="E288" s="4" t="str">
        <f t="shared" si="4"/>
        <v/>
      </c>
      <c r="O288" s="12"/>
    </row>
    <row r="289" spans="2:15" x14ac:dyDescent="0.25">
      <c r="B289" t="str">
        <f>IF(A289="","",_xlfn.XLOOKUP(A289,MAQUINAS!$A$3:$A$55,MAQUINAS!$B$3:$B$55,"No encontrada"))</f>
        <v/>
      </c>
      <c r="C289" s="5"/>
      <c r="D289" s="5"/>
      <c r="E289" s="4" t="str">
        <f t="shared" si="4"/>
        <v/>
      </c>
      <c r="O289" s="12"/>
    </row>
    <row r="290" spans="2:15" x14ac:dyDescent="0.25">
      <c r="B290" t="str">
        <f>IF(A290="","",_xlfn.XLOOKUP(A290,MAQUINAS!$A$3:$A$55,MAQUINAS!$B$3:$B$55,"No encontrada"))</f>
        <v/>
      </c>
      <c r="C290" s="5"/>
      <c r="D290" s="5"/>
      <c r="E290" s="4" t="str">
        <f t="shared" si="4"/>
        <v/>
      </c>
      <c r="O290" s="12"/>
    </row>
    <row r="291" spans="2:15" x14ac:dyDescent="0.25">
      <c r="B291" t="str">
        <f>IF(A291="","",_xlfn.XLOOKUP(A291,MAQUINAS!$A$3:$A$55,MAQUINAS!$B$3:$B$55,"No encontrada"))</f>
        <v/>
      </c>
      <c r="C291" s="5"/>
      <c r="D291" s="5"/>
      <c r="E291" s="4" t="str">
        <f t="shared" si="4"/>
        <v/>
      </c>
      <c r="O291" s="12"/>
    </row>
    <row r="292" spans="2:15" x14ac:dyDescent="0.25">
      <c r="B292" t="str">
        <f>IF(A292="","",_xlfn.XLOOKUP(A292,MAQUINAS!$A$3:$A$55,MAQUINAS!$B$3:$B$55,"No encontrada"))</f>
        <v/>
      </c>
      <c r="C292" s="5"/>
      <c r="D292" s="5"/>
      <c r="E292" s="4" t="str">
        <f t="shared" si="4"/>
        <v/>
      </c>
      <c r="O292" s="12"/>
    </row>
    <row r="293" spans="2:15" x14ac:dyDescent="0.25">
      <c r="B293" t="str">
        <f>IF(A293="","",_xlfn.XLOOKUP(A293,MAQUINAS!$A$3:$A$55,MAQUINAS!$B$3:$B$55,"No encontrada"))</f>
        <v/>
      </c>
      <c r="C293" s="5"/>
      <c r="D293" s="5"/>
      <c r="E293" s="4" t="str">
        <f t="shared" si="4"/>
        <v/>
      </c>
      <c r="O293" s="12"/>
    </row>
    <row r="294" spans="2:15" x14ac:dyDescent="0.25">
      <c r="B294" t="str">
        <f>IF(A294="","",_xlfn.XLOOKUP(A294,MAQUINAS!$A$3:$A$55,MAQUINAS!$B$3:$B$55,"No encontrada"))</f>
        <v/>
      </c>
      <c r="C294" s="5"/>
      <c r="D294" s="5"/>
      <c r="E294" s="4" t="str">
        <f t="shared" si="4"/>
        <v/>
      </c>
      <c r="O294" s="12"/>
    </row>
    <row r="295" spans="2:15" x14ac:dyDescent="0.25">
      <c r="B295" t="str">
        <f>IF(A295="","",_xlfn.XLOOKUP(A295,MAQUINAS!$A$3:$A$55,MAQUINAS!$B$3:$B$55,"No encontrada"))</f>
        <v/>
      </c>
      <c r="C295" s="5"/>
      <c r="D295" s="5"/>
      <c r="E295" s="4" t="str">
        <f t="shared" si="4"/>
        <v/>
      </c>
      <c r="O295" s="12"/>
    </row>
    <row r="296" spans="2:15" x14ac:dyDescent="0.25">
      <c r="B296" t="str">
        <f>IF(A296="","",_xlfn.XLOOKUP(A296,MAQUINAS!$A$3:$A$55,MAQUINAS!$B$3:$B$55,"No encontrada"))</f>
        <v/>
      </c>
      <c r="C296" s="5"/>
      <c r="D296" s="5"/>
      <c r="E296" s="4" t="str">
        <f t="shared" si="4"/>
        <v/>
      </c>
      <c r="O296" s="12"/>
    </row>
    <row r="297" spans="2:15" x14ac:dyDescent="0.25">
      <c r="B297" t="str">
        <f>IF(A297="","",_xlfn.XLOOKUP(A297,MAQUINAS!$A$3:$A$55,MAQUINAS!$B$3:$B$55,"No encontrada"))</f>
        <v/>
      </c>
      <c r="C297" s="5"/>
      <c r="D297" s="5"/>
      <c r="E297" s="4" t="str">
        <f t="shared" si="4"/>
        <v/>
      </c>
      <c r="O297" s="12"/>
    </row>
    <row r="298" spans="2:15" x14ac:dyDescent="0.25">
      <c r="B298" t="str">
        <f>IF(A298="","",_xlfn.XLOOKUP(A298,MAQUINAS!$A$3:$A$55,MAQUINAS!$B$3:$B$55,"No encontrada"))</f>
        <v/>
      </c>
      <c r="C298" s="5"/>
      <c r="D298" s="5"/>
      <c r="E298" s="4" t="str">
        <f t="shared" si="4"/>
        <v/>
      </c>
      <c r="O298" s="12"/>
    </row>
    <row r="299" spans="2:15" x14ac:dyDescent="0.25">
      <c r="B299" t="str">
        <f>IF(A299="","",_xlfn.XLOOKUP(A299,MAQUINAS!$A$3:$A$55,MAQUINAS!$B$3:$B$55,"No encontrada"))</f>
        <v/>
      </c>
      <c r="C299" s="5"/>
      <c r="D299" s="5"/>
      <c r="E299" s="4" t="str">
        <f t="shared" si="4"/>
        <v/>
      </c>
      <c r="O299" s="12"/>
    </row>
    <row r="300" spans="2:15" x14ac:dyDescent="0.25">
      <c r="B300" t="str">
        <f>IF(A300="","",_xlfn.XLOOKUP(A300,MAQUINAS!$A$3:$A$55,MAQUINAS!$B$3:$B$55,"No encontrada"))</f>
        <v/>
      </c>
      <c r="C300" s="5"/>
      <c r="D300" s="5"/>
      <c r="E300" s="4" t="str">
        <f t="shared" si="4"/>
        <v/>
      </c>
      <c r="O300" s="12"/>
    </row>
    <row r="301" spans="2:15" x14ac:dyDescent="0.25">
      <c r="B301" t="str">
        <f>IF(A301="","",_xlfn.XLOOKUP(A301,MAQUINAS!$A$3:$A$55,MAQUINAS!$B$3:$B$55,"No encontrada"))</f>
        <v/>
      </c>
      <c r="C301" s="5"/>
      <c r="D301" s="5"/>
      <c r="E301" s="4" t="str">
        <f t="shared" si="4"/>
        <v/>
      </c>
      <c r="O301" s="12"/>
    </row>
    <row r="302" spans="2:15" x14ac:dyDescent="0.25">
      <c r="B302" t="str">
        <f>IF(A302="","",_xlfn.XLOOKUP(A302,MAQUINAS!$A$3:$A$55,MAQUINAS!$B$3:$B$55,"No encontrada"))</f>
        <v/>
      </c>
      <c r="C302" s="5"/>
      <c r="D302" s="5"/>
      <c r="E302" s="4" t="str">
        <f t="shared" si="4"/>
        <v/>
      </c>
      <c r="O302" s="12"/>
    </row>
    <row r="303" spans="2:15" x14ac:dyDescent="0.25">
      <c r="B303" t="str">
        <f>IF(A303="","",_xlfn.XLOOKUP(A303,MAQUINAS!$A$3:$A$55,MAQUINAS!$B$3:$B$55,"No encontrada"))</f>
        <v/>
      </c>
      <c r="C303" s="5"/>
      <c r="D303" s="5"/>
      <c r="E303" s="4" t="str">
        <f t="shared" si="4"/>
        <v/>
      </c>
      <c r="O303" s="12"/>
    </row>
    <row r="304" spans="2:15" x14ac:dyDescent="0.25">
      <c r="B304" t="str">
        <f>IF(A304="","",_xlfn.XLOOKUP(A304,MAQUINAS!$A$3:$A$55,MAQUINAS!$B$3:$B$55,"No encontrada"))</f>
        <v/>
      </c>
      <c r="C304" s="5"/>
      <c r="D304" s="5"/>
      <c r="E304" s="4" t="str">
        <f t="shared" si="4"/>
        <v/>
      </c>
      <c r="O304" s="12"/>
    </row>
    <row r="305" spans="2:15" x14ac:dyDescent="0.25">
      <c r="B305" t="str">
        <f>IF(A305="","",_xlfn.XLOOKUP(A305,MAQUINAS!$A$3:$A$55,MAQUINAS!$B$3:$B$55,"No encontrada"))</f>
        <v/>
      </c>
      <c r="C305" s="5"/>
      <c r="D305" s="5"/>
      <c r="E305" s="4" t="str">
        <f t="shared" si="4"/>
        <v/>
      </c>
      <c r="O305" s="12"/>
    </row>
    <row r="306" spans="2:15" x14ac:dyDescent="0.25">
      <c r="B306" t="str">
        <f>IF(A306="","",_xlfn.XLOOKUP(A306,MAQUINAS!$A$3:$A$55,MAQUINAS!$B$3:$B$55,"No encontrada"))</f>
        <v/>
      </c>
      <c r="C306" s="5"/>
      <c r="D306" s="5"/>
      <c r="E306" s="4" t="str">
        <f t="shared" si="4"/>
        <v/>
      </c>
      <c r="O306" s="12"/>
    </row>
    <row r="307" spans="2:15" x14ac:dyDescent="0.25">
      <c r="B307" t="str">
        <f>IF(A307="","",_xlfn.XLOOKUP(A307,MAQUINAS!$A$3:$A$55,MAQUINAS!$B$3:$B$55,"No encontrada"))</f>
        <v/>
      </c>
      <c r="C307" s="5"/>
      <c r="D307" s="5"/>
      <c r="E307" s="4" t="str">
        <f t="shared" si="4"/>
        <v/>
      </c>
      <c r="O307" s="12"/>
    </row>
    <row r="308" spans="2:15" x14ac:dyDescent="0.25">
      <c r="B308" t="str">
        <f>IF(A308="","",_xlfn.XLOOKUP(A308,MAQUINAS!$A$3:$A$55,MAQUINAS!$B$3:$B$55,"No encontrada"))</f>
        <v/>
      </c>
      <c r="C308" s="5"/>
      <c r="D308" s="5"/>
      <c r="E308" s="4" t="str">
        <f t="shared" si="4"/>
        <v/>
      </c>
      <c r="O308" s="12"/>
    </row>
    <row r="309" spans="2:15" x14ac:dyDescent="0.25">
      <c r="B309" t="str">
        <f>IF(A309="","",_xlfn.XLOOKUP(A309,MAQUINAS!$A$3:$A$55,MAQUINAS!$B$3:$B$55,"No encontrada"))</f>
        <v/>
      </c>
      <c r="C309" s="5"/>
      <c r="D309" s="5"/>
      <c r="E309" s="4" t="str">
        <f t="shared" si="4"/>
        <v/>
      </c>
      <c r="O309" s="12"/>
    </row>
    <row r="310" spans="2:15" x14ac:dyDescent="0.25">
      <c r="B310" t="str">
        <f>IF(A310="","",_xlfn.XLOOKUP(A310,MAQUINAS!$A$3:$A$55,MAQUINAS!$B$3:$B$55,"No encontrada"))</f>
        <v/>
      </c>
      <c r="C310" s="5"/>
      <c r="D310" s="5"/>
      <c r="E310" s="4" t="str">
        <f t="shared" si="4"/>
        <v/>
      </c>
      <c r="O310" s="12"/>
    </row>
    <row r="311" spans="2:15" x14ac:dyDescent="0.25">
      <c r="B311" t="str">
        <f>IF(A311="","",_xlfn.XLOOKUP(A311,MAQUINAS!$A$3:$A$55,MAQUINAS!$B$3:$B$55,"No encontrada"))</f>
        <v/>
      </c>
      <c r="C311" s="5"/>
      <c r="D311" s="5"/>
      <c r="E311" s="4" t="str">
        <f t="shared" si="4"/>
        <v/>
      </c>
      <c r="O311" s="12"/>
    </row>
    <row r="312" spans="2:15" x14ac:dyDescent="0.25">
      <c r="B312" t="str">
        <f>IF(A312="","",_xlfn.XLOOKUP(A312,MAQUINAS!$A$3:$A$55,MAQUINAS!$B$3:$B$55,"No encontrada"))</f>
        <v/>
      </c>
      <c r="C312" s="5"/>
      <c r="D312" s="5"/>
      <c r="E312" s="4" t="str">
        <f t="shared" si="4"/>
        <v/>
      </c>
      <c r="O312" s="12"/>
    </row>
    <row r="313" spans="2:15" x14ac:dyDescent="0.25">
      <c r="B313" t="str">
        <f>IF(A313="","",_xlfn.XLOOKUP(A313,MAQUINAS!$A$3:$A$55,MAQUINAS!$B$3:$B$55,"No encontrada"))</f>
        <v/>
      </c>
      <c r="C313" s="5"/>
      <c r="D313" s="5"/>
      <c r="E313" s="4" t="str">
        <f t="shared" si="4"/>
        <v/>
      </c>
      <c r="O313" s="12"/>
    </row>
    <row r="314" spans="2:15" x14ac:dyDescent="0.25">
      <c r="B314" t="str">
        <f>IF(A314="","",_xlfn.XLOOKUP(A314,MAQUINAS!$A$3:$A$55,MAQUINAS!$B$3:$B$55,"No encontrada"))</f>
        <v/>
      </c>
      <c r="C314" s="5"/>
      <c r="D314" s="5"/>
      <c r="E314" s="4" t="str">
        <f t="shared" si="4"/>
        <v/>
      </c>
      <c r="O314" s="12"/>
    </row>
    <row r="315" spans="2:15" x14ac:dyDescent="0.25">
      <c r="B315" t="str">
        <f>IF(A315="","",_xlfn.XLOOKUP(A315,MAQUINAS!$A$3:$A$55,MAQUINAS!$B$3:$B$55,"No encontrada"))</f>
        <v/>
      </c>
      <c r="C315" s="5"/>
      <c r="D315" s="5"/>
      <c r="E315" s="4" t="str">
        <f t="shared" si="4"/>
        <v/>
      </c>
      <c r="O315" s="12"/>
    </row>
    <row r="316" spans="2:15" x14ac:dyDescent="0.25">
      <c r="B316" t="str">
        <f>IF(A316="","",_xlfn.XLOOKUP(A316,MAQUINAS!$A$3:$A$55,MAQUINAS!$B$3:$B$55,"No encontrada"))</f>
        <v/>
      </c>
      <c r="C316" s="5"/>
      <c r="D316" s="5"/>
      <c r="E316" s="4" t="str">
        <f t="shared" si="4"/>
        <v/>
      </c>
      <c r="O316" s="12"/>
    </row>
    <row r="317" spans="2:15" x14ac:dyDescent="0.25">
      <c r="B317" t="str">
        <f>IF(A317="","",_xlfn.XLOOKUP(A317,MAQUINAS!$A$3:$A$55,MAQUINAS!$B$3:$B$55,"No encontrada"))</f>
        <v/>
      </c>
      <c r="C317" s="5"/>
      <c r="D317" s="5"/>
      <c r="E317" s="4" t="str">
        <f t="shared" si="4"/>
        <v/>
      </c>
      <c r="O317" s="12"/>
    </row>
    <row r="318" spans="2:15" x14ac:dyDescent="0.25">
      <c r="B318" t="str">
        <f>IF(A318="","",_xlfn.XLOOKUP(A318,MAQUINAS!$A$3:$A$55,MAQUINAS!$B$3:$B$55,"No encontrada"))</f>
        <v/>
      </c>
      <c r="C318" s="5"/>
      <c r="D318" s="5"/>
      <c r="E318" s="4" t="str">
        <f t="shared" si="4"/>
        <v/>
      </c>
      <c r="O318" s="12"/>
    </row>
    <row r="319" spans="2:15" x14ac:dyDescent="0.25">
      <c r="B319" t="str">
        <f>IF(A319="","",_xlfn.XLOOKUP(A319,MAQUINAS!$A$3:$A$55,MAQUINAS!$B$3:$B$55,"No encontrada"))</f>
        <v/>
      </c>
      <c r="C319" s="5"/>
      <c r="D319" s="5"/>
      <c r="E319" s="4" t="str">
        <f t="shared" si="4"/>
        <v/>
      </c>
      <c r="O319" s="12"/>
    </row>
    <row r="320" spans="2:15" x14ac:dyDescent="0.25">
      <c r="B320" t="str">
        <f>IF(A320="","",_xlfn.XLOOKUP(A320,MAQUINAS!$A$3:$A$55,MAQUINAS!$B$3:$B$55,"No encontrada"))</f>
        <v/>
      </c>
      <c r="C320" s="5"/>
      <c r="D320" s="5"/>
      <c r="E320" s="4" t="str">
        <f t="shared" si="4"/>
        <v/>
      </c>
      <c r="O320" s="12"/>
    </row>
    <row r="321" spans="2:15" x14ac:dyDescent="0.25">
      <c r="B321" t="str">
        <f>IF(A321="","",_xlfn.XLOOKUP(A321,MAQUINAS!$A$3:$A$55,MAQUINAS!$B$3:$B$55,"No encontrada"))</f>
        <v/>
      </c>
      <c r="C321" s="5"/>
      <c r="D321" s="5"/>
      <c r="E321" s="4" t="str">
        <f t="shared" si="4"/>
        <v/>
      </c>
      <c r="O321" s="12"/>
    </row>
    <row r="322" spans="2:15" x14ac:dyDescent="0.25">
      <c r="B322" t="str">
        <f>IF(A322="","",_xlfn.XLOOKUP(A322,MAQUINAS!$A$3:$A$55,MAQUINAS!$B$3:$B$55,"No encontrada"))</f>
        <v/>
      </c>
      <c r="C322" s="5"/>
      <c r="D322" s="5"/>
      <c r="E322" s="4" t="str">
        <f t="shared" si="4"/>
        <v/>
      </c>
      <c r="O322" s="12"/>
    </row>
    <row r="323" spans="2:15" x14ac:dyDescent="0.25">
      <c r="B323" t="str">
        <f>IF(A323="","",_xlfn.XLOOKUP(A323,MAQUINAS!$A$3:$A$55,MAQUINAS!$B$3:$B$55,"No encontrada"))</f>
        <v/>
      </c>
      <c r="C323" s="5"/>
      <c r="D323" s="5"/>
      <c r="E323" s="4" t="str">
        <f t="shared" ref="E323:E386" si="5">IF(OR(C323="",D323=""),"",MOD(D323-C323,1))</f>
        <v/>
      </c>
      <c r="O323" s="12"/>
    </row>
    <row r="324" spans="2:15" x14ac:dyDescent="0.25">
      <c r="B324" t="str">
        <f>IF(A324="","",_xlfn.XLOOKUP(A324,MAQUINAS!$A$3:$A$55,MAQUINAS!$B$3:$B$55,"No encontrada"))</f>
        <v/>
      </c>
      <c r="C324" s="5"/>
      <c r="D324" s="5"/>
      <c r="E324" s="4" t="str">
        <f t="shared" si="5"/>
        <v/>
      </c>
      <c r="O324" s="12"/>
    </row>
    <row r="325" spans="2:15" x14ac:dyDescent="0.25">
      <c r="B325" t="str">
        <f>IF(A325="","",_xlfn.XLOOKUP(A325,MAQUINAS!$A$3:$A$55,MAQUINAS!$B$3:$B$55,"No encontrada"))</f>
        <v/>
      </c>
      <c r="C325" s="5"/>
      <c r="D325" s="5"/>
      <c r="E325" s="4" t="str">
        <f t="shared" si="5"/>
        <v/>
      </c>
      <c r="O325" s="12"/>
    </row>
    <row r="326" spans="2:15" x14ac:dyDescent="0.25">
      <c r="B326" t="str">
        <f>IF(A326="","",_xlfn.XLOOKUP(A326,MAQUINAS!$A$3:$A$55,MAQUINAS!$B$3:$B$55,"No encontrada"))</f>
        <v/>
      </c>
      <c r="C326" s="5"/>
      <c r="D326" s="5"/>
      <c r="E326" s="4" t="str">
        <f t="shared" si="5"/>
        <v/>
      </c>
      <c r="O326" s="12"/>
    </row>
    <row r="327" spans="2:15" x14ac:dyDescent="0.25">
      <c r="B327" t="str">
        <f>IF(A327="","",_xlfn.XLOOKUP(A327,MAQUINAS!$A$3:$A$55,MAQUINAS!$B$3:$B$55,"No encontrada"))</f>
        <v/>
      </c>
      <c r="C327" s="5"/>
      <c r="D327" s="5"/>
      <c r="E327" s="4" t="str">
        <f t="shared" si="5"/>
        <v/>
      </c>
      <c r="O327" s="12"/>
    </row>
    <row r="328" spans="2:15" x14ac:dyDescent="0.25">
      <c r="B328" t="str">
        <f>IF(A328="","",_xlfn.XLOOKUP(A328,MAQUINAS!$A$3:$A$55,MAQUINAS!$B$3:$B$55,"No encontrada"))</f>
        <v/>
      </c>
      <c r="C328" s="5"/>
      <c r="D328" s="5"/>
      <c r="E328" s="4" t="str">
        <f t="shared" si="5"/>
        <v/>
      </c>
      <c r="O328" s="12"/>
    </row>
    <row r="329" spans="2:15" x14ac:dyDescent="0.25">
      <c r="B329" t="str">
        <f>IF(A329="","",_xlfn.XLOOKUP(A329,MAQUINAS!$A$3:$A$55,MAQUINAS!$B$3:$B$55,"No encontrada"))</f>
        <v/>
      </c>
      <c r="C329" s="5"/>
      <c r="D329" s="5"/>
      <c r="E329" s="4" t="str">
        <f t="shared" si="5"/>
        <v/>
      </c>
      <c r="O329" s="12"/>
    </row>
    <row r="330" spans="2:15" x14ac:dyDescent="0.25">
      <c r="B330" t="str">
        <f>IF(A330="","",_xlfn.XLOOKUP(A330,MAQUINAS!$A$3:$A$55,MAQUINAS!$B$3:$B$55,"No encontrada"))</f>
        <v/>
      </c>
      <c r="C330" s="5"/>
      <c r="D330" s="5"/>
      <c r="E330" s="4" t="str">
        <f t="shared" si="5"/>
        <v/>
      </c>
      <c r="O330" s="12"/>
    </row>
    <row r="331" spans="2:15" x14ac:dyDescent="0.25">
      <c r="B331" t="str">
        <f>IF(A331="","",_xlfn.XLOOKUP(A331,MAQUINAS!$A$3:$A$55,MAQUINAS!$B$3:$B$55,"No encontrada"))</f>
        <v/>
      </c>
      <c r="C331" s="5"/>
      <c r="D331" s="5"/>
      <c r="E331" s="4" t="str">
        <f t="shared" si="5"/>
        <v/>
      </c>
      <c r="O331" s="12"/>
    </row>
    <row r="332" spans="2:15" x14ac:dyDescent="0.25">
      <c r="B332" t="str">
        <f>IF(A332="","",_xlfn.XLOOKUP(A332,MAQUINAS!$A$3:$A$55,MAQUINAS!$B$3:$B$55,"No encontrada"))</f>
        <v/>
      </c>
      <c r="C332" s="5"/>
      <c r="D332" s="5"/>
      <c r="E332" s="4" t="str">
        <f t="shared" si="5"/>
        <v/>
      </c>
      <c r="O332" s="12"/>
    </row>
    <row r="333" spans="2:15" x14ac:dyDescent="0.25">
      <c r="B333" t="str">
        <f>IF(A333="","",_xlfn.XLOOKUP(A333,MAQUINAS!$A$3:$A$55,MAQUINAS!$B$3:$B$55,"No encontrada"))</f>
        <v/>
      </c>
      <c r="C333" s="5"/>
      <c r="D333" s="5"/>
      <c r="E333" s="4" t="str">
        <f t="shared" si="5"/>
        <v/>
      </c>
      <c r="O333" s="12"/>
    </row>
    <row r="334" spans="2:15" x14ac:dyDescent="0.25">
      <c r="B334" t="str">
        <f>IF(A334="","",_xlfn.XLOOKUP(A334,MAQUINAS!$A$3:$A$55,MAQUINAS!$B$3:$B$55,"No encontrada"))</f>
        <v/>
      </c>
      <c r="C334" s="5"/>
      <c r="D334" s="5"/>
      <c r="E334" s="4" t="str">
        <f t="shared" si="5"/>
        <v/>
      </c>
      <c r="O334" s="12"/>
    </row>
    <row r="335" spans="2:15" x14ac:dyDescent="0.25">
      <c r="B335" t="str">
        <f>IF(A335="","",_xlfn.XLOOKUP(A335,MAQUINAS!$A$3:$A$55,MAQUINAS!$B$3:$B$55,"No encontrada"))</f>
        <v/>
      </c>
      <c r="C335" s="5"/>
      <c r="D335" s="5"/>
      <c r="E335" s="4" t="str">
        <f t="shared" si="5"/>
        <v/>
      </c>
      <c r="O335" s="12"/>
    </row>
    <row r="336" spans="2:15" x14ac:dyDescent="0.25">
      <c r="B336" t="str">
        <f>IF(A336="","",_xlfn.XLOOKUP(A336,MAQUINAS!$A$3:$A$55,MAQUINAS!$B$3:$B$55,"No encontrada"))</f>
        <v/>
      </c>
      <c r="C336" s="5"/>
      <c r="D336" s="5"/>
      <c r="E336" s="4" t="str">
        <f t="shared" si="5"/>
        <v/>
      </c>
      <c r="O336" s="12"/>
    </row>
    <row r="337" spans="2:15" x14ac:dyDescent="0.25">
      <c r="B337" t="str">
        <f>IF(A337="","",_xlfn.XLOOKUP(A337,MAQUINAS!$A$3:$A$55,MAQUINAS!$B$3:$B$55,"No encontrada"))</f>
        <v/>
      </c>
      <c r="C337" s="5"/>
      <c r="D337" s="5"/>
      <c r="E337" s="4" t="str">
        <f t="shared" si="5"/>
        <v/>
      </c>
      <c r="O337" s="12"/>
    </row>
    <row r="338" spans="2:15" x14ac:dyDescent="0.25">
      <c r="B338" t="str">
        <f>IF(A338="","",_xlfn.XLOOKUP(A338,MAQUINAS!$A$3:$A$55,MAQUINAS!$B$3:$B$55,"No encontrada"))</f>
        <v/>
      </c>
      <c r="C338" s="5"/>
      <c r="D338" s="5"/>
      <c r="E338" s="4" t="str">
        <f t="shared" si="5"/>
        <v/>
      </c>
      <c r="O338" s="12"/>
    </row>
    <row r="339" spans="2:15" x14ac:dyDescent="0.25">
      <c r="B339" t="str">
        <f>IF(A339="","",_xlfn.XLOOKUP(A339,MAQUINAS!$A$3:$A$55,MAQUINAS!$B$3:$B$55,"No encontrada"))</f>
        <v/>
      </c>
      <c r="C339" s="5"/>
      <c r="D339" s="5"/>
      <c r="E339" s="4" t="str">
        <f t="shared" si="5"/>
        <v/>
      </c>
      <c r="O339" s="12"/>
    </row>
    <row r="340" spans="2:15" x14ac:dyDescent="0.25">
      <c r="B340" t="str">
        <f>IF(A340="","",_xlfn.XLOOKUP(A340,MAQUINAS!$A$3:$A$55,MAQUINAS!$B$3:$B$55,"No encontrada"))</f>
        <v/>
      </c>
      <c r="C340" s="5"/>
      <c r="D340" s="5"/>
      <c r="E340" s="4" t="str">
        <f t="shared" si="5"/>
        <v/>
      </c>
      <c r="O340" s="12"/>
    </row>
    <row r="341" spans="2:15" x14ac:dyDescent="0.25">
      <c r="B341" t="str">
        <f>IF(A341="","",_xlfn.XLOOKUP(A341,MAQUINAS!$A$3:$A$55,MAQUINAS!$B$3:$B$55,"No encontrada"))</f>
        <v/>
      </c>
      <c r="C341" s="5"/>
      <c r="D341" s="5"/>
      <c r="E341" s="4" t="str">
        <f t="shared" si="5"/>
        <v/>
      </c>
      <c r="O341" s="12"/>
    </row>
    <row r="342" spans="2:15" x14ac:dyDescent="0.25">
      <c r="B342" t="str">
        <f>IF(A342="","",_xlfn.XLOOKUP(A342,MAQUINAS!$A$3:$A$55,MAQUINAS!$B$3:$B$55,"No encontrada"))</f>
        <v/>
      </c>
      <c r="C342" s="5"/>
      <c r="D342" s="5"/>
      <c r="E342" s="4" t="str">
        <f t="shared" si="5"/>
        <v/>
      </c>
      <c r="O342" s="12"/>
    </row>
    <row r="343" spans="2:15" x14ac:dyDescent="0.25">
      <c r="B343" t="str">
        <f>IF(A343="","",_xlfn.XLOOKUP(A343,MAQUINAS!$A$3:$A$55,MAQUINAS!$B$3:$B$55,"No encontrada"))</f>
        <v/>
      </c>
      <c r="C343" s="5"/>
      <c r="D343" s="5"/>
      <c r="E343" s="4" t="str">
        <f t="shared" si="5"/>
        <v/>
      </c>
      <c r="O343" s="12"/>
    </row>
    <row r="344" spans="2:15" x14ac:dyDescent="0.25">
      <c r="B344" t="str">
        <f>IF(A344="","",_xlfn.XLOOKUP(A344,MAQUINAS!$A$3:$A$55,MAQUINAS!$B$3:$B$55,"No encontrada"))</f>
        <v/>
      </c>
      <c r="C344" s="5"/>
      <c r="D344" s="5"/>
      <c r="E344" s="4" t="str">
        <f t="shared" si="5"/>
        <v/>
      </c>
      <c r="O344" s="12"/>
    </row>
    <row r="345" spans="2:15" x14ac:dyDescent="0.25">
      <c r="B345" t="str">
        <f>IF(A345="","",_xlfn.XLOOKUP(A345,MAQUINAS!$A$3:$A$55,MAQUINAS!$B$3:$B$55,"No encontrada"))</f>
        <v/>
      </c>
      <c r="C345" s="5"/>
      <c r="D345" s="5"/>
      <c r="E345" s="4" t="str">
        <f t="shared" si="5"/>
        <v/>
      </c>
      <c r="O345" s="12"/>
    </row>
    <row r="346" spans="2:15" x14ac:dyDescent="0.25">
      <c r="B346" t="str">
        <f>IF(A346="","",_xlfn.XLOOKUP(A346,MAQUINAS!$A$3:$A$55,MAQUINAS!$B$3:$B$55,"No encontrada"))</f>
        <v/>
      </c>
      <c r="C346" s="5"/>
      <c r="D346" s="5"/>
      <c r="E346" s="4" t="str">
        <f t="shared" si="5"/>
        <v/>
      </c>
      <c r="O346" s="12"/>
    </row>
    <row r="347" spans="2:15" x14ac:dyDescent="0.25">
      <c r="B347" t="str">
        <f>IF(A347="","",_xlfn.XLOOKUP(A347,MAQUINAS!$A$3:$A$55,MAQUINAS!$B$3:$B$55,"No encontrada"))</f>
        <v/>
      </c>
      <c r="C347" s="5"/>
      <c r="D347" s="5"/>
      <c r="E347" s="4" t="str">
        <f t="shared" si="5"/>
        <v/>
      </c>
      <c r="O347" s="12"/>
    </row>
    <row r="348" spans="2:15" x14ac:dyDescent="0.25">
      <c r="B348" t="str">
        <f>IF(A348="","",_xlfn.XLOOKUP(A348,MAQUINAS!$A$3:$A$55,MAQUINAS!$B$3:$B$55,"No encontrada"))</f>
        <v/>
      </c>
      <c r="C348" s="5"/>
      <c r="D348" s="5"/>
      <c r="E348" s="4" t="str">
        <f t="shared" si="5"/>
        <v/>
      </c>
      <c r="O348" s="12"/>
    </row>
    <row r="349" spans="2:15" x14ac:dyDescent="0.25">
      <c r="B349" t="str">
        <f>IF(A349="","",_xlfn.XLOOKUP(A349,MAQUINAS!$A$3:$A$55,MAQUINAS!$B$3:$B$55,"No encontrada"))</f>
        <v/>
      </c>
      <c r="C349" s="5"/>
      <c r="D349" s="5"/>
      <c r="E349" s="4" t="str">
        <f t="shared" si="5"/>
        <v/>
      </c>
      <c r="O349" s="12"/>
    </row>
    <row r="350" spans="2:15" x14ac:dyDescent="0.25">
      <c r="B350" t="str">
        <f>IF(A350="","",_xlfn.XLOOKUP(A350,MAQUINAS!$A$3:$A$55,MAQUINAS!$B$3:$B$55,"No encontrada"))</f>
        <v/>
      </c>
      <c r="C350" s="5"/>
      <c r="D350" s="5"/>
      <c r="E350" s="4" t="str">
        <f t="shared" si="5"/>
        <v/>
      </c>
      <c r="O350" s="12"/>
    </row>
    <row r="351" spans="2:15" x14ac:dyDescent="0.25">
      <c r="B351" t="str">
        <f>IF(A351="","",_xlfn.XLOOKUP(A351,MAQUINAS!$A$3:$A$55,MAQUINAS!$B$3:$B$55,"No encontrada"))</f>
        <v/>
      </c>
      <c r="C351" s="5"/>
      <c r="D351" s="5"/>
      <c r="E351" s="4" t="str">
        <f t="shared" si="5"/>
        <v/>
      </c>
      <c r="O351" s="12"/>
    </row>
    <row r="352" spans="2:15" x14ac:dyDescent="0.25">
      <c r="B352" t="str">
        <f>IF(A352="","",_xlfn.XLOOKUP(A352,MAQUINAS!$A$3:$A$55,MAQUINAS!$B$3:$B$55,"No encontrada"))</f>
        <v/>
      </c>
      <c r="C352" s="5"/>
      <c r="D352" s="5"/>
      <c r="E352" s="4" t="str">
        <f t="shared" si="5"/>
        <v/>
      </c>
      <c r="O352" s="12"/>
    </row>
    <row r="353" spans="2:15" x14ac:dyDescent="0.25">
      <c r="B353" t="str">
        <f>IF(A353="","",_xlfn.XLOOKUP(A353,MAQUINAS!$A$3:$A$55,MAQUINAS!$B$3:$B$55,"No encontrada"))</f>
        <v/>
      </c>
      <c r="C353" s="5"/>
      <c r="D353" s="5"/>
      <c r="E353" s="4" t="str">
        <f t="shared" si="5"/>
        <v/>
      </c>
      <c r="O353" s="12"/>
    </row>
    <row r="354" spans="2:15" x14ac:dyDescent="0.25">
      <c r="B354" t="str">
        <f>IF(A354="","",_xlfn.XLOOKUP(A354,MAQUINAS!$A$3:$A$55,MAQUINAS!$B$3:$B$55,"No encontrada"))</f>
        <v/>
      </c>
      <c r="C354" s="5"/>
      <c r="D354" s="5"/>
      <c r="E354" s="4" t="str">
        <f t="shared" si="5"/>
        <v/>
      </c>
      <c r="O354" s="12"/>
    </row>
    <row r="355" spans="2:15" x14ac:dyDescent="0.25">
      <c r="B355" t="str">
        <f>IF(A355="","",_xlfn.XLOOKUP(A355,MAQUINAS!$A$3:$A$55,MAQUINAS!$B$3:$B$55,"No encontrada"))</f>
        <v/>
      </c>
      <c r="C355" s="5"/>
      <c r="D355" s="5"/>
      <c r="E355" s="4" t="str">
        <f t="shared" si="5"/>
        <v/>
      </c>
      <c r="O355" s="12"/>
    </row>
    <row r="356" spans="2:15" x14ac:dyDescent="0.25">
      <c r="B356" t="str">
        <f>IF(A356="","",_xlfn.XLOOKUP(A356,MAQUINAS!$A$3:$A$55,MAQUINAS!$B$3:$B$55,"No encontrada"))</f>
        <v/>
      </c>
      <c r="C356" s="5"/>
      <c r="D356" s="5"/>
      <c r="E356" s="4" t="str">
        <f t="shared" si="5"/>
        <v/>
      </c>
      <c r="O356" s="12"/>
    </row>
    <row r="357" spans="2:15" x14ac:dyDescent="0.25">
      <c r="B357" t="str">
        <f>IF(A357="","",_xlfn.XLOOKUP(A357,MAQUINAS!$A$3:$A$55,MAQUINAS!$B$3:$B$55,"No encontrada"))</f>
        <v/>
      </c>
      <c r="C357" s="5"/>
      <c r="D357" s="5"/>
      <c r="E357" s="4" t="str">
        <f t="shared" si="5"/>
        <v/>
      </c>
      <c r="O357" s="12"/>
    </row>
    <row r="358" spans="2:15" x14ac:dyDescent="0.25">
      <c r="B358" t="str">
        <f>IF(A358="","",_xlfn.XLOOKUP(A358,MAQUINAS!$A$3:$A$55,MAQUINAS!$B$3:$B$55,"No encontrada"))</f>
        <v/>
      </c>
      <c r="C358" s="5"/>
      <c r="D358" s="5"/>
      <c r="E358" s="4" t="str">
        <f t="shared" si="5"/>
        <v/>
      </c>
      <c r="O358" s="12"/>
    </row>
    <row r="359" spans="2:15" x14ac:dyDescent="0.25">
      <c r="B359" t="str">
        <f>IF(A359="","",_xlfn.XLOOKUP(A359,MAQUINAS!$A$3:$A$55,MAQUINAS!$B$3:$B$55,"No encontrada"))</f>
        <v/>
      </c>
      <c r="C359" s="5"/>
      <c r="D359" s="5"/>
      <c r="E359" s="4" t="str">
        <f t="shared" si="5"/>
        <v/>
      </c>
      <c r="O359" s="12"/>
    </row>
    <row r="360" spans="2:15" x14ac:dyDescent="0.25">
      <c r="B360" t="str">
        <f>IF(A360="","",_xlfn.XLOOKUP(A360,MAQUINAS!$A$3:$A$55,MAQUINAS!$B$3:$B$55,"No encontrada"))</f>
        <v/>
      </c>
      <c r="C360" s="5"/>
      <c r="D360" s="5"/>
      <c r="E360" s="4" t="str">
        <f t="shared" si="5"/>
        <v/>
      </c>
      <c r="O360" s="12"/>
    </row>
    <row r="361" spans="2:15" x14ac:dyDescent="0.25">
      <c r="B361" t="str">
        <f>IF(A361="","",_xlfn.XLOOKUP(A361,MAQUINAS!$A$3:$A$55,MAQUINAS!$B$3:$B$55,"No encontrada"))</f>
        <v/>
      </c>
      <c r="C361" s="5"/>
      <c r="D361" s="5"/>
      <c r="E361" s="4" t="str">
        <f t="shared" si="5"/>
        <v/>
      </c>
      <c r="O361" s="12"/>
    </row>
    <row r="362" spans="2:15" x14ac:dyDescent="0.25">
      <c r="B362" t="str">
        <f>IF(A362="","",_xlfn.XLOOKUP(A362,MAQUINAS!$A$3:$A$55,MAQUINAS!$B$3:$B$55,"No encontrada"))</f>
        <v/>
      </c>
      <c r="C362" s="5"/>
      <c r="D362" s="5"/>
      <c r="E362" s="4" t="str">
        <f t="shared" si="5"/>
        <v/>
      </c>
      <c r="O362" s="12"/>
    </row>
    <row r="363" spans="2:15" x14ac:dyDescent="0.25">
      <c r="B363" t="str">
        <f>IF(A363="","",_xlfn.XLOOKUP(A363,MAQUINAS!$A$3:$A$55,MAQUINAS!$B$3:$B$55,"No encontrada"))</f>
        <v/>
      </c>
      <c r="C363" s="5"/>
      <c r="D363" s="5"/>
      <c r="E363" s="4" t="str">
        <f t="shared" si="5"/>
        <v/>
      </c>
      <c r="O363" s="12"/>
    </row>
    <row r="364" spans="2:15" x14ac:dyDescent="0.25">
      <c r="B364" t="str">
        <f>IF(A364="","",_xlfn.XLOOKUP(A364,MAQUINAS!$A$3:$A$55,MAQUINAS!$B$3:$B$55,"No encontrada"))</f>
        <v/>
      </c>
      <c r="C364" s="5"/>
      <c r="D364" s="5"/>
      <c r="E364" s="4" t="str">
        <f t="shared" si="5"/>
        <v/>
      </c>
      <c r="O364" s="12"/>
    </row>
    <row r="365" spans="2:15" x14ac:dyDescent="0.25">
      <c r="B365" t="str">
        <f>IF(A365="","",_xlfn.XLOOKUP(A365,MAQUINAS!$A$3:$A$55,MAQUINAS!$B$3:$B$55,"No encontrada"))</f>
        <v/>
      </c>
      <c r="C365" s="5"/>
      <c r="D365" s="5"/>
      <c r="E365" s="4" t="str">
        <f t="shared" si="5"/>
        <v/>
      </c>
      <c r="O365" s="12"/>
    </row>
    <row r="366" spans="2:15" x14ac:dyDescent="0.25">
      <c r="B366" t="str">
        <f>IF(A366="","",_xlfn.XLOOKUP(A366,MAQUINAS!$A$3:$A$55,MAQUINAS!$B$3:$B$55,"No encontrada"))</f>
        <v/>
      </c>
      <c r="C366" s="5"/>
      <c r="D366" s="5"/>
      <c r="E366" s="4" t="str">
        <f t="shared" si="5"/>
        <v/>
      </c>
      <c r="O366" s="12"/>
    </row>
    <row r="367" spans="2:15" x14ac:dyDescent="0.25">
      <c r="B367" t="str">
        <f>IF(A367="","",_xlfn.XLOOKUP(A367,MAQUINAS!$A$3:$A$55,MAQUINAS!$B$3:$B$55,"No encontrada"))</f>
        <v/>
      </c>
      <c r="C367" s="5"/>
      <c r="D367" s="5"/>
      <c r="E367" s="4" t="str">
        <f t="shared" si="5"/>
        <v/>
      </c>
      <c r="O367" s="12"/>
    </row>
    <row r="368" spans="2:15" x14ac:dyDescent="0.25">
      <c r="B368" t="str">
        <f>IF(A368="","",_xlfn.XLOOKUP(A368,MAQUINAS!$A$3:$A$55,MAQUINAS!$B$3:$B$55,"No encontrada"))</f>
        <v/>
      </c>
      <c r="C368" s="5"/>
      <c r="D368" s="5"/>
      <c r="E368" s="4" t="str">
        <f t="shared" si="5"/>
        <v/>
      </c>
      <c r="O368" s="12"/>
    </row>
    <row r="369" spans="2:15" x14ac:dyDescent="0.25">
      <c r="B369" t="str">
        <f>IF(A369="","",_xlfn.XLOOKUP(A369,MAQUINAS!$A$3:$A$55,MAQUINAS!$B$3:$B$55,"No encontrada"))</f>
        <v/>
      </c>
      <c r="C369" s="5"/>
      <c r="D369" s="5"/>
      <c r="E369" s="4" t="str">
        <f t="shared" si="5"/>
        <v/>
      </c>
      <c r="O369" s="12"/>
    </row>
    <row r="370" spans="2:15" x14ac:dyDescent="0.25">
      <c r="B370" t="str">
        <f>IF(A370="","",_xlfn.XLOOKUP(A370,MAQUINAS!$A$3:$A$55,MAQUINAS!$B$3:$B$55,"No encontrada"))</f>
        <v/>
      </c>
      <c r="C370" s="5"/>
      <c r="D370" s="5"/>
      <c r="E370" s="4" t="str">
        <f t="shared" si="5"/>
        <v/>
      </c>
      <c r="O370" s="12"/>
    </row>
    <row r="371" spans="2:15" x14ac:dyDescent="0.25">
      <c r="B371" t="str">
        <f>IF(A371="","",_xlfn.XLOOKUP(A371,MAQUINAS!$A$3:$A$55,MAQUINAS!$B$3:$B$55,"No encontrada"))</f>
        <v/>
      </c>
      <c r="C371" s="5"/>
      <c r="D371" s="5"/>
      <c r="E371" s="4" t="str">
        <f t="shared" si="5"/>
        <v/>
      </c>
      <c r="O371" s="12"/>
    </row>
    <row r="372" spans="2:15" x14ac:dyDescent="0.25">
      <c r="B372" t="str">
        <f>IF(A372="","",_xlfn.XLOOKUP(A372,MAQUINAS!$A$3:$A$55,MAQUINAS!$B$3:$B$55,"No encontrada"))</f>
        <v/>
      </c>
      <c r="C372" s="5"/>
      <c r="D372" s="5"/>
      <c r="E372" s="4" t="str">
        <f t="shared" si="5"/>
        <v/>
      </c>
      <c r="O372" s="12"/>
    </row>
    <row r="373" spans="2:15" x14ac:dyDescent="0.25">
      <c r="B373" t="str">
        <f>IF(A373="","",_xlfn.XLOOKUP(A373,MAQUINAS!$A$3:$A$55,MAQUINAS!$B$3:$B$55,"No encontrada"))</f>
        <v/>
      </c>
      <c r="C373" s="5"/>
      <c r="D373" s="5"/>
      <c r="E373" s="4" t="str">
        <f t="shared" si="5"/>
        <v/>
      </c>
      <c r="O373" s="12"/>
    </row>
    <row r="374" spans="2:15" x14ac:dyDescent="0.25">
      <c r="B374" t="str">
        <f>IF(A374="","",_xlfn.XLOOKUP(A374,MAQUINAS!$A$3:$A$55,MAQUINAS!$B$3:$B$55,"No encontrada"))</f>
        <v/>
      </c>
      <c r="C374" s="5"/>
      <c r="D374" s="5"/>
      <c r="E374" s="4" t="str">
        <f t="shared" si="5"/>
        <v/>
      </c>
      <c r="O374" s="12"/>
    </row>
    <row r="375" spans="2:15" x14ac:dyDescent="0.25">
      <c r="B375" t="str">
        <f>IF(A375="","",_xlfn.XLOOKUP(A375,MAQUINAS!$A$3:$A$55,MAQUINAS!$B$3:$B$55,"No encontrada"))</f>
        <v/>
      </c>
      <c r="C375" s="5"/>
      <c r="D375" s="5"/>
      <c r="E375" s="4" t="str">
        <f t="shared" si="5"/>
        <v/>
      </c>
      <c r="O375" s="12"/>
    </row>
    <row r="376" spans="2:15" x14ac:dyDescent="0.25">
      <c r="B376" t="str">
        <f>IF(A376="","",_xlfn.XLOOKUP(A376,MAQUINAS!$A$3:$A$55,MAQUINAS!$B$3:$B$55,"No encontrada"))</f>
        <v/>
      </c>
      <c r="C376" s="5"/>
      <c r="D376" s="5"/>
      <c r="E376" s="4" t="str">
        <f t="shared" si="5"/>
        <v/>
      </c>
      <c r="O376" s="12"/>
    </row>
    <row r="377" spans="2:15" x14ac:dyDescent="0.25">
      <c r="B377" t="str">
        <f>IF(A377="","",_xlfn.XLOOKUP(A377,MAQUINAS!$A$3:$A$55,MAQUINAS!$B$3:$B$55,"No encontrada"))</f>
        <v/>
      </c>
      <c r="C377" s="5"/>
      <c r="D377" s="5"/>
      <c r="E377" s="4" t="str">
        <f t="shared" si="5"/>
        <v/>
      </c>
      <c r="O377" s="12"/>
    </row>
    <row r="378" spans="2:15" x14ac:dyDescent="0.25">
      <c r="B378" t="str">
        <f>IF(A378="","",_xlfn.XLOOKUP(A378,MAQUINAS!$A$3:$A$55,MAQUINAS!$B$3:$B$55,"No encontrada"))</f>
        <v/>
      </c>
      <c r="C378" s="5"/>
      <c r="D378" s="5"/>
      <c r="E378" s="4" t="str">
        <f t="shared" si="5"/>
        <v/>
      </c>
      <c r="O378" s="12"/>
    </row>
    <row r="379" spans="2:15" x14ac:dyDescent="0.25">
      <c r="B379" t="str">
        <f>IF(A379="","",_xlfn.XLOOKUP(A379,MAQUINAS!$A$3:$A$55,MAQUINAS!$B$3:$B$55,"No encontrada"))</f>
        <v/>
      </c>
      <c r="C379" s="5"/>
      <c r="D379" s="5"/>
      <c r="E379" s="4" t="str">
        <f t="shared" si="5"/>
        <v/>
      </c>
      <c r="O379" s="12"/>
    </row>
    <row r="380" spans="2:15" x14ac:dyDescent="0.25">
      <c r="B380" t="str">
        <f>IF(A380="","",_xlfn.XLOOKUP(A380,MAQUINAS!$A$3:$A$55,MAQUINAS!$B$3:$B$55,"No encontrada"))</f>
        <v/>
      </c>
      <c r="C380" s="5"/>
      <c r="D380" s="5"/>
      <c r="E380" s="4" t="str">
        <f t="shared" si="5"/>
        <v/>
      </c>
      <c r="O380" s="12"/>
    </row>
    <row r="381" spans="2:15" x14ac:dyDescent="0.25">
      <c r="B381" t="str">
        <f>IF(A381="","",_xlfn.XLOOKUP(A381,MAQUINAS!$A$3:$A$55,MAQUINAS!$B$3:$B$55,"No encontrada"))</f>
        <v/>
      </c>
      <c r="C381" s="5"/>
      <c r="D381" s="5"/>
      <c r="E381" s="4" t="str">
        <f t="shared" si="5"/>
        <v/>
      </c>
      <c r="O381" s="12"/>
    </row>
    <row r="382" spans="2:15" x14ac:dyDescent="0.25">
      <c r="B382" t="str">
        <f>IF(A382="","",_xlfn.XLOOKUP(A382,MAQUINAS!$A$3:$A$55,MAQUINAS!$B$3:$B$55,"No encontrada"))</f>
        <v/>
      </c>
      <c r="C382" s="5"/>
      <c r="D382" s="5"/>
      <c r="E382" s="4" t="str">
        <f t="shared" si="5"/>
        <v/>
      </c>
      <c r="O382" s="12"/>
    </row>
    <row r="383" spans="2:15" x14ac:dyDescent="0.25">
      <c r="B383" t="str">
        <f>IF(A383="","",_xlfn.XLOOKUP(A383,MAQUINAS!$A$3:$A$55,MAQUINAS!$B$3:$B$55,"No encontrada"))</f>
        <v/>
      </c>
      <c r="C383" s="5"/>
      <c r="D383" s="5"/>
      <c r="E383" s="4" t="str">
        <f t="shared" si="5"/>
        <v/>
      </c>
      <c r="O383" s="12"/>
    </row>
    <row r="384" spans="2:15" x14ac:dyDescent="0.25">
      <c r="B384" t="str">
        <f>IF(A384="","",_xlfn.XLOOKUP(A384,MAQUINAS!$A$3:$A$55,MAQUINAS!$B$3:$B$55,"No encontrada"))</f>
        <v/>
      </c>
      <c r="C384" s="5"/>
      <c r="D384" s="5"/>
      <c r="E384" s="4" t="str">
        <f t="shared" si="5"/>
        <v/>
      </c>
      <c r="O384" s="12"/>
    </row>
    <row r="385" spans="2:15" x14ac:dyDescent="0.25">
      <c r="B385" t="str">
        <f>IF(A385="","",_xlfn.XLOOKUP(A385,MAQUINAS!$A$3:$A$55,MAQUINAS!$B$3:$B$55,"No encontrada"))</f>
        <v/>
      </c>
      <c r="C385" s="5"/>
      <c r="D385" s="5"/>
      <c r="E385" s="4" t="str">
        <f t="shared" si="5"/>
        <v/>
      </c>
      <c r="O385" s="12"/>
    </row>
    <row r="386" spans="2:15" x14ac:dyDescent="0.25">
      <c r="B386" t="str">
        <f>IF(A386="","",_xlfn.XLOOKUP(A386,MAQUINAS!$A$3:$A$55,MAQUINAS!$B$3:$B$55,"No encontrada"))</f>
        <v/>
      </c>
      <c r="C386" s="5"/>
      <c r="D386" s="5"/>
      <c r="E386" s="4" t="str">
        <f t="shared" si="5"/>
        <v/>
      </c>
      <c r="O386" s="12"/>
    </row>
    <row r="387" spans="2:15" x14ac:dyDescent="0.25">
      <c r="B387" t="str">
        <f>IF(A387="","",_xlfn.XLOOKUP(A387,MAQUINAS!$A$3:$A$55,MAQUINAS!$B$3:$B$55,"No encontrada"))</f>
        <v/>
      </c>
      <c r="C387" s="5"/>
      <c r="D387" s="5"/>
      <c r="E387" s="4" t="str">
        <f t="shared" ref="E387:E450" si="6">IF(OR(C387="",D387=""),"",MOD(D387-C387,1))</f>
        <v/>
      </c>
      <c r="O387" s="12"/>
    </row>
    <row r="388" spans="2:15" x14ac:dyDescent="0.25">
      <c r="B388" t="str">
        <f>IF(A388="","",_xlfn.XLOOKUP(A388,MAQUINAS!$A$3:$A$55,MAQUINAS!$B$3:$B$55,"No encontrada"))</f>
        <v/>
      </c>
      <c r="C388" s="5"/>
      <c r="D388" s="5"/>
      <c r="E388" s="4" t="str">
        <f t="shared" si="6"/>
        <v/>
      </c>
      <c r="O388" s="12"/>
    </row>
    <row r="389" spans="2:15" x14ac:dyDescent="0.25">
      <c r="B389" t="str">
        <f>IF(A389="","",_xlfn.XLOOKUP(A389,MAQUINAS!$A$3:$A$55,MAQUINAS!$B$3:$B$55,"No encontrada"))</f>
        <v/>
      </c>
      <c r="C389" s="5"/>
      <c r="D389" s="5"/>
      <c r="E389" s="4" t="str">
        <f t="shared" si="6"/>
        <v/>
      </c>
      <c r="O389" s="12"/>
    </row>
    <row r="390" spans="2:15" x14ac:dyDescent="0.25">
      <c r="B390" t="str">
        <f>IF(A390="","",_xlfn.XLOOKUP(A390,MAQUINAS!$A$3:$A$55,MAQUINAS!$B$3:$B$55,"No encontrada"))</f>
        <v/>
      </c>
      <c r="C390" s="5"/>
      <c r="D390" s="5"/>
      <c r="E390" s="4" t="str">
        <f t="shared" si="6"/>
        <v/>
      </c>
      <c r="O390" s="12"/>
    </row>
    <row r="391" spans="2:15" x14ac:dyDescent="0.25">
      <c r="B391" t="str">
        <f>IF(A391="","",_xlfn.XLOOKUP(A391,MAQUINAS!$A$3:$A$55,MAQUINAS!$B$3:$B$55,"No encontrada"))</f>
        <v/>
      </c>
      <c r="C391" s="5"/>
      <c r="D391" s="5"/>
      <c r="E391" s="4" t="str">
        <f t="shared" si="6"/>
        <v/>
      </c>
      <c r="O391" s="12"/>
    </row>
    <row r="392" spans="2:15" x14ac:dyDescent="0.25">
      <c r="B392" t="str">
        <f>IF(A392="","",_xlfn.XLOOKUP(A392,MAQUINAS!$A$3:$A$55,MAQUINAS!$B$3:$B$55,"No encontrada"))</f>
        <v/>
      </c>
      <c r="C392" s="5"/>
      <c r="D392" s="5"/>
      <c r="E392" s="4" t="str">
        <f t="shared" si="6"/>
        <v/>
      </c>
      <c r="O392" s="12"/>
    </row>
    <row r="393" spans="2:15" x14ac:dyDescent="0.25">
      <c r="B393" t="str">
        <f>IF(A393="","",_xlfn.XLOOKUP(A393,MAQUINAS!$A$3:$A$55,MAQUINAS!$B$3:$B$55,"No encontrada"))</f>
        <v/>
      </c>
      <c r="C393" s="5"/>
      <c r="D393" s="5"/>
      <c r="E393" s="4" t="str">
        <f t="shared" si="6"/>
        <v/>
      </c>
      <c r="O393" s="12"/>
    </row>
    <row r="394" spans="2:15" x14ac:dyDescent="0.25">
      <c r="B394" t="str">
        <f>IF(A394="","",_xlfn.XLOOKUP(A394,MAQUINAS!$A$3:$A$55,MAQUINAS!$B$3:$B$55,"No encontrada"))</f>
        <v/>
      </c>
      <c r="C394" s="5"/>
      <c r="D394" s="5"/>
      <c r="E394" s="4" t="str">
        <f t="shared" si="6"/>
        <v/>
      </c>
      <c r="O394" s="12"/>
    </row>
    <row r="395" spans="2:15" x14ac:dyDescent="0.25">
      <c r="B395" t="str">
        <f>IF(A395="","",_xlfn.XLOOKUP(A395,MAQUINAS!$A$3:$A$55,MAQUINAS!$B$3:$B$55,"No encontrada"))</f>
        <v/>
      </c>
      <c r="C395" s="5"/>
      <c r="D395" s="5"/>
      <c r="E395" s="4" t="str">
        <f t="shared" si="6"/>
        <v/>
      </c>
      <c r="O395" s="12"/>
    </row>
    <row r="396" spans="2:15" x14ac:dyDescent="0.25">
      <c r="B396" t="str">
        <f>IF(A396="","",_xlfn.XLOOKUP(A396,MAQUINAS!$A$3:$A$55,MAQUINAS!$B$3:$B$55,"No encontrada"))</f>
        <v/>
      </c>
      <c r="C396" s="5"/>
      <c r="D396" s="5"/>
      <c r="E396" s="4" t="str">
        <f t="shared" si="6"/>
        <v/>
      </c>
      <c r="O396" s="12"/>
    </row>
    <row r="397" spans="2:15" x14ac:dyDescent="0.25">
      <c r="B397" t="str">
        <f>IF(A397="","",_xlfn.XLOOKUP(A397,MAQUINAS!$A$3:$A$55,MAQUINAS!$B$3:$B$55,"No encontrada"))</f>
        <v/>
      </c>
      <c r="C397" s="5"/>
      <c r="D397" s="5"/>
      <c r="E397" s="4" t="str">
        <f t="shared" si="6"/>
        <v/>
      </c>
      <c r="O397" s="12"/>
    </row>
    <row r="398" spans="2:15" x14ac:dyDescent="0.25">
      <c r="B398" t="str">
        <f>IF(A398="","",_xlfn.XLOOKUP(A398,MAQUINAS!$A$3:$A$55,MAQUINAS!$B$3:$B$55,"No encontrada"))</f>
        <v/>
      </c>
      <c r="C398" s="5"/>
      <c r="D398" s="5"/>
      <c r="E398" s="4" t="str">
        <f t="shared" si="6"/>
        <v/>
      </c>
      <c r="O398" s="12"/>
    </row>
    <row r="399" spans="2:15" x14ac:dyDescent="0.25">
      <c r="B399" t="str">
        <f>IF(A399="","",_xlfn.XLOOKUP(A399,MAQUINAS!$A$3:$A$55,MAQUINAS!$B$3:$B$55,"No encontrada"))</f>
        <v/>
      </c>
      <c r="C399" s="5"/>
      <c r="D399" s="5"/>
      <c r="E399" s="4" t="str">
        <f t="shared" si="6"/>
        <v/>
      </c>
      <c r="O399" s="12"/>
    </row>
    <row r="400" spans="2:15" x14ac:dyDescent="0.25">
      <c r="B400" t="str">
        <f>IF(A400="","",_xlfn.XLOOKUP(A400,MAQUINAS!$A$3:$A$55,MAQUINAS!$B$3:$B$55,"No encontrada"))</f>
        <v/>
      </c>
      <c r="C400" s="5"/>
      <c r="D400" s="5"/>
      <c r="E400" s="4" t="str">
        <f t="shared" si="6"/>
        <v/>
      </c>
      <c r="O400" s="12"/>
    </row>
    <row r="401" spans="2:15" x14ac:dyDescent="0.25">
      <c r="B401" t="str">
        <f>IF(A401="","",_xlfn.XLOOKUP(A401,MAQUINAS!$A$3:$A$55,MAQUINAS!$B$3:$B$55,"No encontrada"))</f>
        <v/>
      </c>
      <c r="C401" s="5"/>
      <c r="D401" s="5"/>
      <c r="E401" s="4" t="str">
        <f t="shared" si="6"/>
        <v/>
      </c>
      <c r="O401" s="12"/>
    </row>
    <row r="402" spans="2:15" x14ac:dyDescent="0.25">
      <c r="B402" t="str">
        <f>IF(A402="","",_xlfn.XLOOKUP(A402,MAQUINAS!$A$3:$A$55,MAQUINAS!$B$3:$B$55,"No encontrada"))</f>
        <v/>
      </c>
      <c r="C402" s="5"/>
      <c r="D402" s="5"/>
      <c r="E402" s="4" t="str">
        <f t="shared" si="6"/>
        <v/>
      </c>
      <c r="O402" s="12"/>
    </row>
    <row r="403" spans="2:15" x14ac:dyDescent="0.25">
      <c r="B403" t="str">
        <f>IF(A403="","",_xlfn.XLOOKUP(A403,MAQUINAS!$A$3:$A$55,MAQUINAS!$B$3:$B$55,"No encontrada"))</f>
        <v/>
      </c>
      <c r="C403" s="5"/>
      <c r="D403" s="5"/>
      <c r="E403" s="4" t="str">
        <f t="shared" si="6"/>
        <v/>
      </c>
      <c r="O403" s="12"/>
    </row>
    <row r="404" spans="2:15" x14ac:dyDescent="0.25">
      <c r="B404" t="str">
        <f>IF(A404="","",_xlfn.XLOOKUP(A404,MAQUINAS!$A$3:$A$55,MAQUINAS!$B$3:$B$55,"No encontrada"))</f>
        <v/>
      </c>
      <c r="C404" s="5"/>
      <c r="D404" s="5"/>
      <c r="E404" s="4" t="str">
        <f t="shared" si="6"/>
        <v/>
      </c>
      <c r="O404" s="12"/>
    </row>
    <row r="405" spans="2:15" x14ac:dyDescent="0.25">
      <c r="B405" t="str">
        <f>IF(A405="","",_xlfn.XLOOKUP(A405,MAQUINAS!$A$3:$A$55,MAQUINAS!$B$3:$B$55,"No encontrada"))</f>
        <v/>
      </c>
      <c r="C405" s="5"/>
      <c r="D405" s="5"/>
      <c r="E405" s="4" t="str">
        <f t="shared" si="6"/>
        <v/>
      </c>
      <c r="O405" s="12"/>
    </row>
    <row r="406" spans="2:15" x14ac:dyDescent="0.25">
      <c r="B406" t="str">
        <f>IF(A406="","",_xlfn.XLOOKUP(A406,MAQUINAS!$A$3:$A$55,MAQUINAS!$B$3:$B$55,"No encontrada"))</f>
        <v/>
      </c>
      <c r="C406" s="5"/>
      <c r="D406" s="5"/>
      <c r="E406" s="4" t="str">
        <f t="shared" si="6"/>
        <v/>
      </c>
      <c r="O406" s="12"/>
    </row>
    <row r="407" spans="2:15" x14ac:dyDescent="0.25">
      <c r="B407" t="str">
        <f>IF(A407="","",_xlfn.XLOOKUP(A407,MAQUINAS!$A$3:$A$55,MAQUINAS!$B$3:$B$55,"No encontrada"))</f>
        <v/>
      </c>
      <c r="C407" s="5"/>
      <c r="D407" s="5"/>
      <c r="E407" s="4" t="str">
        <f t="shared" si="6"/>
        <v/>
      </c>
      <c r="O407" s="12"/>
    </row>
    <row r="408" spans="2:15" x14ac:dyDescent="0.25">
      <c r="B408" t="str">
        <f>IF(A408="","",_xlfn.XLOOKUP(A408,MAQUINAS!$A$3:$A$55,MAQUINAS!$B$3:$B$55,"No encontrada"))</f>
        <v/>
      </c>
      <c r="C408" s="5"/>
      <c r="D408" s="5"/>
      <c r="E408" s="4" t="str">
        <f t="shared" si="6"/>
        <v/>
      </c>
      <c r="O408" s="12"/>
    </row>
    <row r="409" spans="2:15" x14ac:dyDescent="0.25">
      <c r="B409" t="str">
        <f>IF(A409="","",_xlfn.XLOOKUP(A409,MAQUINAS!$A$3:$A$55,MAQUINAS!$B$3:$B$55,"No encontrada"))</f>
        <v/>
      </c>
      <c r="C409" s="5"/>
      <c r="D409" s="5"/>
      <c r="E409" s="4" t="str">
        <f t="shared" si="6"/>
        <v/>
      </c>
      <c r="O409" s="12"/>
    </row>
    <row r="410" spans="2:15" x14ac:dyDescent="0.25">
      <c r="B410" t="str">
        <f>IF(A410="","",_xlfn.XLOOKUP(A410,MAQUINAS!$A$3:$A$55,MAQUINAS!$B$3:$B$55,"No encontrada"))</f>
        <v/>
      </c>
      <c r="C410" s="5"/>
      <c r="D410" s="5"/>
      <c r="E410" s="4" t="str">
        <f t="shared" si="6"/>
        <v/>
      </c>
      <c r="O410" s="12"/>
    </row>
    <row r="411" spans="2:15" x14ac:dyDescent="0.25">
      <c r="B411" t="str">
        <f>IF(A411="","",_xlfn.XLOOKUP(A411,MAQUINAS!$A$3:$A$55,MAQUINAS!$B$3:$B$55,"No encontrada"))</f>
        <v/>
      </c>
      <c r="C411" s="5"/>
      <c r="D411" s="5"/>
      <c r="E411" s="4" t="str">
        <f t="shared" si="6"/>
        <v/>
      </c>
      <c r="O411" s="12"/>
    </row>
    <row r="412" spans="2:15" x14ac:dyDescent="0.25">
      <c r="B412" t="str">
        <f>IF(A412="","",_xlfn.XLOOKUP(A412,MAQUINAS!$A$3:$A$55,MAQUINAS!$B$3:$B$55,"No encontrada"))</f>
        <v/>
      </c>
      <c r="C412" s="5"/>
      <c r="D412" s="5"/>
      <c r="E412" s="4" t="str">
        <f t="shared" si="6"/>
        <v/>
      </c>
      <c r="O412" s="12"/>
    </row>
    <row r="413" spans="2:15" x14ac:dyDescent="0.25">
      <c r="B413" t="str">
        <f>IF(A413="","",_xlfn.XLOOKUP(A413,MAQUINAS!$A$3:$A$55,MAQUINAS!$B$3:$B$55,"No encontrada"))</f>
        <v/>
      </c>
      <c r="C413" s="5"/>
      <c r="D413" s="5"/>
      <c r="E413" s="4" t="str">
        <f t="shared" si="6"/>
        <v/>
      </c>
      <c r="O413" s="12"/>
    </row>
    <row r="414" spans="2:15" x14ac:dyDescent="0.25">
      <c r="B414" t="str">
        <f>IF(A414="","",_xlfn.XLOOKUP(A414,MAQUINAS!$A$3:$A$55,MAQUINAS!$B$3:$B$55,"No encontrada"))</f>
        <v/>
      </c>
      <c r="C414" s="5"/>
      <c r="D414" s="5"/>
      <c r="E414" s="4" t="str">
        <f t="shared" si="6"/>
        <v/>
      </c>
      <c r="O414" s="12"/>
    </row>
    <row r="415" spans="2:15" x14ac:dyDescent="0.25">
      <c r="B415" t="str">
        <f>IF(A415="","",_xlfn.XLOOKUP(A415,MAQUINAS!$A$3:$A$55,MAQUINAS!$B$3:$B$55,"No encontrada"))</f>
        <v/>
      </c>
      <c r="C415" s="5"/>
      <c r="D415" s="5"/>
      <c r="E415" s="4" t="str">
        <f t="shared" si="6"/>
        <v/>
      </c>
      <c r="O415" s="12"/>
    </row>
    <row r="416" spans="2:15" x14ac:dyDescent="0.25">
      <c r="B416" t="str">
        <f>IF(A416="","",_xlfn.XLOOKUP(A416,MAQUINAS!$A$3:$A$55,MAQUINAS!$B$3:$B$55,"No encontrada"))</f>
        <v/>
      </c>
      <c r="C416" s="5"/>
      <c r="D416" s="5"/>
      <c r="E416" s="4" t="str">
        <f t="shared" si="6"/>
        <v/>
      </c>
      <c r="O416" s="12"/>
    </row>
    <row r="417" spans="2:15" x14ac:dyDescent="0.25">
      <c r="B417" t="str">
        <f>IF(A417="","",_xlfn.XLOOKUP(A417,MAQUINAS!$A$3:$A$55,MAQUINAS!$B$3:$B$55,"No encontrada"))</f>
        <v/>
      </c>
      <c r="C417" s="5"/>
      <c r="D417" s="5"/>
      <c r="E417" s="4" t="str">
        <f t="shared" si="6"/>
        <v/>
      </c>
      <c r="O417" s="12"/>
    </row>
    <row r="418" spans="2:15" x14ac:dyDescent="0.25">
      <c r="B418" t="str">
        <f>IF(A418="","",_xlfn.XLOOKUP(A418,MAQUINAS!$A$3:$A$55,MAQUINAS!$B$3:$B$55,"No encontrada"))</f>
        <v/>
      </c>
      <c r="C418" s="5"/>
      <c r="D418" s="5"/>
      <c r="E418" s="4" t="str">
        <f t="shared" si="6"/>
        <v/>
      </c>
      <c r="O418" s="12"/>
    </row>
    <row r="419" spans="2:15" x14ac:dyDescent="0.25">
      <c r="B419" t="str">
        <f>IF(A419="","",_xlfn.XLOOKUP(A419,MAQUINAS!$A$3:$A$55,MAQUINAS!$B$3:$B$55,"No encontrada"))</f>
        <v/>
      </c>
      <c r="C419" s="5"/>
      <c r="D419" s="5"/>
      <c r="E419" s="4" t="str">
        <f t="shared" si="6"/>
        <v/>
      </c>
      <c r="O419" s="12"/>
    </row>
    <row r="420" spans="2:15" x14ac:dyDescent="0.25">
      <c r="B420" t="str">
        <f>IF(A420="","",_xlfn.XLOOKUP(A420,MAQUINAS!$A$3:$A$55,MAQUINAS!$B$3:$B$55,"No encontrada"))</f>
        <v/>
      </c>
      <c r="C420" s="5"/>
      <c r="D420" s="5"/>
      <c r="E420" s="4" t="str">
        <f t="shared" si="6"/>
        <v/>
      </c>
      <c r="O420" s="12"/>
    </row>
    <row r="421" spans="2:15" x14ac:dyDescent="0.25">
      <c r="B421" t="str">
        <f>IF(A421="","",_xlfn.XLOOKUP(A421,MAQUINAS!$A$3:$A$55,MAQUINAS!$B$3:$B$55,"No encontrada"))</f>
        <v/>
      </c>
      <c r="C421" s="5"/>
      <c r="D421" s="5"/>
      <c r="E421" s="4" t="str">
        <f t="shared" si="6"/>
        <v/>
      </c>
      <c r="O421" s="12"/>
    </row>
    <row r="422" spans="2:15" x14ac:dyDescent="0.25">
      <c r="B422" t="str">
        <f>IF(A422="","",_xlfn.XLOOKUP(A422,MAQUINAS!$A$3:$A$55,MAQUINAS!$B$3:$B$55,"No encontrada"))</f>
        <v/>
      </c>
      <c r="C422" s="5"/>
      <c r="D422" s="5"/>
      <c r="E422" s="4" t="str">
        <f t="shared" si="6"/>
        <v/>
      </c>
      <c r="O422" s="12"/>
    </row>
    <row r="423" spans="2:15" x14ac:dyDescent="0.25">
      <c r="B423" t="str">
        <f>IF(A423="","",_xlfn.XLOOKUP(A423,MAQUINAS!$A$3:$A$55,MAQUINAS!$B$3:$B$55,"No encontrada"))</f>
        <v/>
      </c>
      <c r="C423" s="5"/>
      <c r="D423" s="5"/>
      <c r="E423" s="4" t="str">
        <f t="shared" si="6"/>
        <v/>
      </c>
      <c r="O423" s="12"/>
    </row>
    <row r="424" spans="2:15" x14ac:dyDescent="0.25">
      <c r="B424" t="str">
        <f>IF(A424="","",_xlfn.XLOOKUP(A424,MAQUINAS!$A$3:$A$55,MAQUINAS!$B$3:$B$55,"No encontrada"))</f>
        <v/>
      </c>
      <c r="C424" s="5"/>
      <c r="D424" s="5"/>
      <c r="E424" s="4" t="str">
        <f t="shared" si="6"/>
        <v/>
      </c>
      <c r="O424" s="12"/>
    </row>
    <row r="425" spans="2:15" x14ac:dyDescent="0.25">
      <c r="B425" t="str">
        <f>IF(A425="","",_xlfn.XLOOKUP(A425,MAQUINAS!$A$3:$A$55,MAQUINAS!$B$3:$B$55,"No encontrada"))</f>
        <v/>
      </c>
      <c r="C425" s="5"/>
      <c r="D425" s="5"/>
      <c r="E425" s="4" t="str">
        <f t="shared" si="6"/>
        <v/>
      </c>
      <c r="O425" s="12"/>
    </row>
    <row r="426" spans="2:15" x14ac:dyDescent="0.25">
      <c r="B426" t="str">
        <f>IF(A426="","",_xlfn.XLOOKUP(A426,MAQUINAS!$A$3:$A$55,MAQUINAS!$B$3:$B$55,"No encontrada"))</f>
        <v/>
      </c>
      <c r="C426" s="5"/>
      <c r="D426" s="5"/>
      <c r="E426" s="4" t="str">
        <f t="shared" si="6"/>
        <v/>
      </c>
      <c r="O426" s="12"/>
    </row>
    <row r="427" spans="2:15" x14ac:dyDescent="0.25">
      <c r="B427" t="str">
        <f>IF(A427="","",_xlfn.XLOOKUP(A427,MAQUINAS!$A$3:$A$55,MAQUINAS!$B$3:$B$55,"No encontrada"))</f>
        <v/>
      </c>
      <c r="C427" s="5"/>
      <c r="D427" s="5"/>
      <c r="E427" s="4" t="str">
        <f t="shared" si="6"/>
        <v/>
      </c>
      <c r="O427" s="12"/>
    </row>
    <row r="428" spans="2:15" x14ac:dyDescent="0.25">
      <c r="B428" t="str">
        <f>IF(A428="","",_xlfn.XLOOKUP(A428,MAQUINAS!$A$3:$A$55,MAQUINAS!$B$3:$B$55,"No encontrada"))</f>
        <v/>
      </c>
      <c r="C428" s="5"/>
      <c r="D428" s="5"/>
      <c r="E428" s="4" t="str">
        <f t="shared" si="6"/>
        <v/>
      </c>
      <c r="O428" s="12"/>
    </row>
    <row r="429" spans="2:15" x14ac:dyDescent="0.25">
      <c r="B429" t="str">
        <f>IF(A429="","",_xlfn.XLOOKUP(A429,MAQUINAS!$A$3:$A$55,MAQUINAS!$B$3:$B$55,"No encontrada"))</f>
        <v/>
      </c>
      <c r="C429" s="5"/>
      <c r="D429" s="5"/>
      <c r="E429" s="4" t="str">
        <f t="shared" si="6"/>
        <v/>
      </c>
      <c r="O429" s="12"/>
    </row>
    <row r="430" spans="2:15" x14ac:dyDescent="0.25">
      <c r="B430" t="str">
        <f>IF(A430="","",_xlfn.XLOOKUP(A430,MAQUINAS!$A$3:$A$55,MAQUINAS!$B$3:$B$55,"No encontrada"))</f>
        <v/>
      </c>
      <c r="C430" s="5"/>
      <c r="D430" s="5"/>
      <c r="E430" s="4" t="str">
        <f t="shared" si="6"/>
        <v/>
      </c>
      <c r="O430" s="12"/>
    </row>
    <row r="431" spans="2:15" x14ac:dyDescent="0.25">
      <c r="B431" t="str">
        <f>IF(A431="","",_xlfn.XLOOKUP(A431,MAQUINAS!$A$3:$A$55,MAQUINAS!$B$3:$B$55,"No encontrada"))</f>
        <v/>
      </c>
      <c r="C431" s="5"/>
      <c r="D431" s="5"/>
      <c r="E431" s="4" t="str">
        <f t="shared" si="6"/>
        <v/>
      </c>
      <c r="O431" s="12"/>
    </row>
    <row r="432" spans="2:15" x14ac:dyDescent="0.25">
      <c r="B432" t="str">
        <f>IF(A432="","",_xlfn.XLOOKUP(A432,MAQUINAS!$A$3:$A$55,MAQUINAS!$B$3:$B$55,"No encontrada"))</f>
        <v/>
      </c>
      <c r="C432" s="5"/>
      <c r="D432" s="5"/>
      <c r="E432" s="4" t="str">
        <f t="shared" si="6"/>
        <v/>
      </c>
      <c r="O432" s="12"/>
    </row>
    <row r="433" spans="2:15" x14ac:dyDescent="0.25">
      <c r="B433" t="str">
        <f>IF(A433="","",_xlfn.XLOOKUP(A433,MAQUINAS!$A$3:$A$55,MAQUINAS!$B$3:$B$55,"No encontrada"))</f>
        <v/>
      </c>
      <c r="C433" s="5"/>
      <c r="D433" s="5"/>
      <c r="E433" s="4" t="str">
        <f t="shared" si="6"/>
        <v/>
      </c>
      <c r="O433" s="12"/>
    </row>
    <row r="434" spans="2:15" x14ac:dyDescent="0.25">
      <c r="B434" t="str">
        <f>IF(A434="","",_xlfn.XLOOKUP(A434,MAQUINAS!$A$3:$A$55,MAQUINAS!$B$3:$B$55,"No encontrada"))</f>
        <v/>
      </c>
      <c r="C434" s="5"/>
      <c r="D434" s="5"/>
      <c r="E434" s="4" t="str">
        <f t="shared" si="6"/>
        <v/>
      </c>
      <c r="O434" s="12"/>
    </row>
    <row r="435" spans="2:15" x14ac:dyDescent="0.25">
      <c r="B435" t="str">
        <f>IF(A435="","",_xlfn.XLOOKUP(A435,MAQUINAS!$A$3:$A$55,MAQUINAS!$B$3:$B$55,"No encontrada"))</f>
        <v/>
      </c>
      <c r="C435" s="5"/>
      <c r="D435" s="5"/>
      <c r="E435" s="4" t="str">
        <f t="shared" si="6"/>
        <v/>
      </c>
      <c r="O435" s="12"/>
    </row>
    <row r="436" spans="2:15" x14ac:dyDescent="0.25">
      <c r="B436" t="str">
        <f>IF(A436="","",_xlfn.XLOOKUP(A436,MAQUINAS!$A$3:$A$55,MAQUINAS!$B$3:$B$55,"No encontrada"))</f>
        <v/>
      </c>
      <c r="C436" s="5"/>
      <c r="D436" s="5"/>
      <c r="E436" s="4" t="str">
        <f t="shared" si="6"/>
        <v/>
      </c>
      <c r="O436" s="12"/>
    </row>
    <row r="437" spans="2:15" x14ac:dyDescent="0.25">
      <c r="B437" t="str">
        <f>IF(A437="","",_xlfn.XLOOKUP(A437,MAQUINAS!$A$3:$A$55,MAQUINAS!$B$3:$B$55,"No encontrada"))</f>
        <v/>
      </c>
      <c r="C437" s="5"/>
      <c r="D437" s="5"/>
      <c r="E437" s="4" t="str">
        <f t="shared" si="6"/>
        <v/>
      </c>
      <c r="O437" s="12"/>
    </row>
    <row r="438" spans="2:15" x14ac:dyDescent="0.25">
      <c r="B438" t="str">
        <f>IF(A438="","",_xlfn.XLOOKUP(A438,MAQUINAS!$A$3:$A$55,MAQUINAS!$B$3:$B$55,"No encontrada"))</f>
        <v/>
      </c>
      <c r="C438" s="5"/>
      <c r="D438" s="5"/>
      <c r="E438" s="4" t="str">
        <f t="shared" si="6"/>
        <v/>
      </c>
      <c r="O438" s="12"/>
    </row>
    <row r="439" spans="2:15" x14ac:dyDescent="0.25">
      <c r="B439" t="str">
        <f>IF(A439="","",_xlfn.XLOOKUP(A439,MAQUINAS!$A$3:$A$55,MAQUINAS!$B$3:$B$55,"No encontrada"))</f>
        <v/>
      </c>
      <c r="C439" s="5"/>
      <c r="D439" s="5"/>
      <c r="E439" s="4" t="str">
        <f t="shared" si="6"/>
        <v/>
      </c>
      <c r="O439" s="12"/>
    </row>
    <row r="440" spans="2:15" x14ac:dyDescent="0.25">
      <c r="B440" t="str">
        <f>IF(A440="","",_xlfn.XLOOKUP(A440,MAQUINAS!$A$3:$A$55,MAQUINAS!$B$3:$B$55,"No encontrada"))</f>
        <v/>
      </c>
      <c r="C440" s="5"/>
      <c r="D440" s="5"/>
      <c r="E440" s="4" t="str">
        <f t="shared" si="6"/>
        <v/>
      </c>
      <c r="O440" s="12"/>
    </row>
    <row r="441" spans="2:15" x14ac:dyDescent="0.25">
      <c r="B441" t="str">
        <f>IF(A441="","",_xlfn.XLOOKUP(A441,MAQUINAS!$A$3:$A$55,MAQUINAS!$B$3:$B$55,"No encontrada"))</f>
        <v/>
      </c>
      <c r="C441" s="5"/>
      <c r="D441" s="5"/>
      <c r="E441" s="4" t="str">
        <f t="shared" si="6"/>
        <v/>
      </c>
      <c r="O441" s="12"/>
    </row>
    <row r="442" spans="2:15" x14ac:dyDescent="0.25">
      <c r="B442" t="str">
        <f>IF(A442="","",_xlfn.XLOOKUP(A442,MAQUINAS!$A$3:$A$55,MAQUINAS!$B$3:$B$55,"No encontrada"))</f>
        <v/>
      </c>
      <c r="C442" s="5"/>
      <c r="D442" s="5"/>
      <c r="E442" s="4" t="str">
        <f t="shared" si="6"/>
        <v/>
      </c>
      <c r="O442" s="12"/>
    </row>
    <row r="443" spans="2:15" x14ac:dyDescent="0.25">
      <c r="B443" t="str">
        <f>IF(A443="","",_xlfn.XLOOKUP(A443,MAQUINAS!$A$3:$A$55,MAQUINAS!$B$3:$B$55,"No encontrada"))</f>
        <v/>
      </c>
      <c r="C443" s="5"/>
      <c r="D443" s="5"/>
      <c r="E443" s="4" t="str">
        <f t="shared" si="6"/>
        <v/>
      </c>
      <c r="O443" s="12"/>
    </row>
    <row r="444" spans="2:15" x14ac:dyDescent="0.25">
      <c r="B444" t="str">
        <f>IF(A444="","",_xlfn.XLOOKUP(A444,MAQUINAS!$A$3:$A$55,MAQUINAS!$B$3:$B$55,"No encontrada"))</f>
        <v/>
      </c>
      <c r="C444" s="5"/>
      <c r="D444" s="5"/>
      <c r="E444" s="4" t="str">
        <f t="shared" si="6"/>
        <v/>
      </c>
      <c r="O444" s="12"/>
    </row>
    <row r="445" spans="2:15" x14ac:dyDescent="0.25">
      <c r="B445" t="str">
        <f>IF(A445="","",_xlfn.XLOOKUP(A445,MAQUINAS!$A$3:$A$55,MAQUINAS!$B$3:$B$55,"No encontrada"))</f>
        <v/>
      </c>
      <c r="C445" s="5"/>
      <c r="D445" s="5"/>
      <c r="E445" s="4" t="str">
        <f t="shared" si="6"/>
        <v/>
      </c>
      <c r="O445" s="12"/>
    </row>
    <row r="446" spans="2:15" x14ac:dyDescent="0.25">
      <c r="B446" t="str">
        <f>IF(A446="","",_xlfn.XLOOKUP(A446,MAQUINAS!$A$3:$A$55,MAQUINAS!$B$3:$B$55,"No encontrada"))</f>
        <v/>
      </c>
      <c r="C446" s="5"/>
      <c r="D446" s="5"/>
      <c r="E446" s="4" t="str">
        <f t="shared" si="6"/>
        <v/>
      </c>
      <c r="O446" s="12"/>
    </row>
    <row r="447" spans="2:15" x14ac:dyDescent="0.25">
      <c r="B447" t="str">
        <f>IF(A447="","",_xlfn.XLOOKUP(A447,MAQUINAS!$A$3:$A$55,MAQUINAS!$B$3:$B$55,"No encontrada"))</f>
        <v/>
      </c>
      <c r="C447" s="5"/>
      <c r="D447" s="5"/>
      <c r="E447" s="4" t="str">
        <f t="shared" si="6"/>
        <v/>
      </c>
      <c r="O447" s="12"/>
    </row>
    <row r="448" spans="2:15" x14ac:dyDescent="0.25">
      <c r="B448" t="str">
        <f>IF(A448="","",_xlfn.XLOOKUP(A448,MAQUINAS!$A$3:$A$55,MAQUINAS!$B$3:$B$55,"No encontrada"))</f>
        <v/>
      </c>
      <c r="C448" s="5"/>
      <c r="D448" s="5"/>
      <c r="E448" s="4" t="str">
        <f t="shared" si="6"/>
        <v/>
      </c>
      <c r="O448" s="12"/>
    </row>
    <row r="449" spans="2:15" x14ac:dyDescent="0.25">
      <c r="B449" t="str">
        <f>IF(A449="","",_xlfn.XLOOKUP(A449,MAQUINAS!$A$3:$A$55,MAQUINAS!$B$3:$B$55,"No encontrada"))</f>
        <v/>
      </c>
      <c r="C449" s="5"/>
      <c r="D449" s="5"/>
      <c r="E449" s="4" t="str">
        <f t="shared" si="6"/>
        <v/>
      </c>
      <c r="O449" s="12"/>
    </row>
    <row r="450" spans="2:15" x14ac:dyDescent="0.25">
      <c r="B450" t="str">
        <f>IF(A450="","",_xlfn.XLOOKUP(A450,MAQUINAS!$A$3:$A$55,MAQUINAS!$B$3:$B$55,"No encontrada"))</f>
        <v/>
      </c>
      <c r="C450" s="5"/>
      <c r="D450" s="5"/>
      <c r="E450" s="4" t="str">
        <f t="shared" si="6"/>
        <v/>
      </c>
      <c r="O450" s="12"/>
    </row>
    <row r="451" spans="2:15" x14ac:dyDescent="0.25">
      <c r="B451" t="str">
        <f>IF(A451="","",_xlfn.XLOOKUP(A451,MAQUINAS!$A$3:$A$55,MAQUINAS!$B$3:$B$55,"No encontrada"))</f>
        <v/>
      </c>
      <c r="C451" s="5"/>
      <c r="D451" s="5"/>
      <c r="E451" s="4" t="str">
        <f t="shared" ref="E451:E514" si="7">IF(OR(C451="",D451=""),"",MOD(D451-C451,1))</f>
        <v/>
      </c>
      <c r="O451" s="12"/>
    </row>
    <row r="452" spans="2:15" x14ac:dyDescent="0.25">
      <c r="B452" t="str">
        <f>IF(A452="","",_xlfn.XLOOKUP(A452,MAQUINAS!$A$3:$A$55,MAQUINAS!$B$3:$B$55,"No encontrada"))</f>
        <v/>
      </c>
      <c r="C452" s="5"/>
      <c r="D452" s="5"/>
      <c r="E452" s="4" t="str">
        <f t="shared" si="7"/>
        <v/>
      </c>
      <c r="O452" s="12"/>
    </row>
    <row r="453" spans="2:15" x14ac:dyDescent="0.25">
      <c r="B453" t="str">
        <f>IF(A453="","",_xlfn.XLOOKUP(A453,MAQUINAS!$A$3:$A$55,MAQUINAS!$B$3:$B$55,"No encontrada"))</f>
        <v/>
      </c>
      <c r="C453" s="5"/>
      <c r="D453" s="5"/>
      <c r="E453" s="4" t="str">
        <f t="shared" si="7"/>
        <v/>
      </c>
      <c r="O453" s="12"/>
    </row>
    <row r="454" spans="2:15" x14ac:dyDescent="0.25">
      <c r="B454" t="str">
        <f>IF(A454="","",_xlfn.XLOOKUP(A454,MAQUINAS!$A$3:$A$55,MAQUINAS!$B$3:$B$55,"No encontrada"))</f>
        <v/>
      </c>
      <c r="C454" s="5"/>
      <c r="D454" s="5"/>
      <c r="E454" s="4" t="str">
        <f t="shared" si="7"/>
        <v/>
      </c>
      <c r="O454" s="12"/>
    </row>
    <row r="455" spans="2:15" x14ac:dyDescent="0.25">
      <c r="B455" t="str">
        <f>IF(A455="","",_xlfn.XLOOKUP(A455,MAQUINAS!$A$3:$A$55,MAQUINAS!$B$3:$B$55,"No encontrada"))</f>
        <v/>
      </c>
      <c r="C455" s="5"/>
      <c r="D455" s="5"/>
      <c r="E455" s="4" t="str">
        <f t="shared" si="7"/>
        <v/>
      </c>
      <c r="O455" s="12"/>
    </row>
    <row r="456" spans="2:15" x14ac:dyDescent="0.25">
      <c r="B456" t="str">
        <f>IF(A456="","",_xlfn.XLOOKUP(A456,MAQUINAS!$A$3:$A$55,MAQUINAS!$B$3:$B$55,"No encontrada"))</f>
        <v/>
      </c>
      <c r="C456" s="5"/>
      <c r="D456" s="5"/>
      <c r="E456" s="4" t="str">
        <f t="shared" si="7"/>
        <v/>
      </c>
      <c r="O456" s="12"/>
    </row>
    <row r="457" spans="2:15" x14ac:dyDescent="0.25">
      <c r="B457" t="str">
        <f>IF(A457="","",_xlfn.XLOOKUP(A457,MAQUINAS!$A$3:$A$55,MAQUINAS!$B$3:$B$55,"No encontrada"))</f>
        <v/>
      </c>
      <c r="C457" s="5"/>
      <c r="D457" s="5"/>
      <c r="E457" s="4" t="str">
        <f t="shared" si="7"/>
        <v/>
      </c>
      <c r="O457" s="12"/>
    </row>
    <row r="458" spans="2:15" x14ac:dyDescent="0.25">
      <c r="B458" t="str">
        <f>IF(A458="","",_xlfn.XLOOKUP(A458,MAQUINAS!$A$3:$A$55,MAQUINAS!$B$3:$B$55,"No encontrada"))</f>
        <v/>
      </c>
      <c r="C458" s="5"/>
      <c r="D458" s="5"/>
      <c r="E458" s="4" t="str">
        <f t="shared" si="7"/>
        <v/>
      </c>
      <c r="O458" s="12"/>
    </row>
    <row r="459" spans="2:15" x14ac:dyDescent="0.25">
      <c r="B459" t="str">
        <f>IF(A459="","",_xlfn.XLOOKUP(A459,MAQUINAS!$A$3:$A$55,MAQUINAS!$B$3:$B$55,"No encontrada"))</f>
        <v/>
      </c>
      <c r="C459" s="5"/>
      <c r="D459" s="5"/>
      <c r="E459" s="4" t="str">
        <f t="shared" si="7"/>
        <v/>
      </c>
      <c r="O459" s="12"/>
    </row>
    <row r="460" spans="2:15" x14ac:dyDescent="0.25">
      <c r="B460" t="str">
        <f>IF(A460="","",_xlfn.XLOOKUP(A460,MAQUINAS!$A$3:$A$55,MAQUINAS!$B$3:$B$55,"No encontrada"))</f>
        <v/>
      </c>
      <c r="C460" s="5"/>
      <c r="D460" s="5"/>
      <c r="E460" s="4" t="str">
        <f t="shared" si="7"/>
        <v/>
      </c>
      <c r="O460" s="12"/>
    </row>
    <row r="461" spans="2:15" x14ac:dyDescent="0.25">
      <c r="B461" t="str">
        <f>IF(A461="","",_xlfn.XLOOKUP(A461,MAQUINAS!$A$3:$A$55,MAQUINAS!$B$3:$B$55,"No encontrada"))</f>
        <v/>
      </c>
      <c r="C461" s="5"/>
      <c r="D461" s="5"/>
      <c r="E461" s="4" t="str">
        <f t="shared" si="7"/>
        <v/>
      </c>
      <c r="O461" s="12"/>
    </row>
    <row r="462" spans="2:15" x14ac:dyDescent="0.25">
      <c r="B462" t="str">
        <f>IF(A462="","",_xlfn.XLOOKUP(A462,MAQUINAS!$A$3:$A$55,MAQUINAS!$B$3:$B$55,"No encontrada"))</f>
        <v/>
      </c>
      <c r="C462" s="5"/>
      <c r="D462" s="5"/>
      <c r="E462" s="4" t="str">
        <f t="shared" si="7"/>
        <v/>
      </c>
      <c r="O462" s="12"/>
    </row>
    <row r="463" spans="2:15" x14ac:dyDescent="0.25">
      <c r="B463" t="str">
        <f>IF(A463="","",_xlfn.XLOOKUP(A463,MAQUINAS!$A$3:$A$55,MAQUINAS!$B$3:$B$55,"No encontrada"))</f>
        <v/>
      </c>
      <c r="C463" s="5"/>
      <c r="D463" s="5"/>
      <c r="E463" s="4" t="str">
        <f t="shared" si="7"/>
        <v/>
      </c>
      <c r="O463" s="12"/>
    </row>
    <row r="464" spans="2:15" x14ac:dyDescent="0.25">
      <c r="B464" t="str">
        <f>IF(A464="","",_xlfn.XLOOKUP(A464,MAQUINAS!$A$3:$A$55,MAQUINAS!$B$3:$B$55,"No encontrada"))</f>
        <v/>
      </c>
      <c r="C464" s="5"/>
      <c r="D464" s="5"/>
      <c r="E464" s="4" t="str">
        <f t="shared" si="7"/>
        <v/>
      </c>
      <c r="O464" s="12"/>
    </row>
    <row r="465" spans="2:15" x14ac:dyDescent="0.25">
      <c r="B465" t="str">
        <f>IF(A465="","",_xlfn.XLOOKUP(A465,MAQUINAS!$A$3:$A$55,MAQUINAS!$B$3:$B$55,"No encontrada"))</f>
        <v/>
      </c>
      <c r="C465" s="5"/>
      <c r="D465" s="5"/>
      <c r="E465" s="4" t="str">
        <f t="shared" si="7"/>
        <v/>
      </c>
      <c r="O465" s="12"/>
    </row>
    <row r="466" spans="2:15" x14ac:dyDescent="0.25">
      <c r="B466" t="str">
        <f>IF(A466="","",_xlfn.XLOOKUP(A466,MAQUINAS!$A$3:$A$55,MAQUINAS!$B$3:$B$55,"No encontrada"))</f>
        <v/>
      </c>
      <c r="C466" s="5"/>
      <c r="D466" s="5"/>
      <c r="E466" s="4" t="str">
        <f t="shared" si="7"/>
        <v/>
      </c>
      <c r="O466" s="12"/>
    </row>
    <row r="467" spans="2:15" x14ac:dyDescent="0.25">
      <c r="B467" t="str">
        <f>IF(A467="","",_xlfn.XLOOKUP(A467,MAQUINAS!$A$3:$A$55,MAQUINAS!$B$3:$B$55,"No encontrada"))</f>
        <v/>
      </c>
      <c r="C467" s="5"/>
      <c r="D467" s="5"/>
      <c r="E467" s="4" t="str">
        <f t="shared" si="7"/>
        <v/>
      </c>
      <c r="O467" s="12"/>
    </row>
    <row r="468" spans="2:15" x14ac:dyDescent="0.25">
      <c r="B468" t="str">
        <f>IF(A468="","",_xlfn.XLOOKUP(A468,MAQUINAS!$A$3:$A$55,MAQUINAS!$B$3:$B$55,"No encontrada"))</f>
        <v/>
      </c>
      <c r="C468" s="5"/>
      <c r="D468" s="5"/>
      <c r="E468" s="4" t="str">
        <f t="shared" si="7"/>
        <v/>
      </c>
      <c r="O468" s="12"/>
    </row>
    <row r="469" spans="2:15" x14ac:dyDescent="0.25">
      <c r="B469" t="str">
        <f>IF(A469="","",_xlfn.XLOOKUP(A469,MAQUINAS!$A$3:$A$55,MAQUINAS!$B$3:$B$55,"No encontrada"))</f>
        <v/>
      </c>
      <c r="C469" s="5"/>
      <c r="D469" s="5"/>
      <c r="E469" s="4" t="str">
        <f t="shared" si="7"/>
        <v/>
      </c>
      <c r="O469" s="12"/>
    </row>
    <row r="470" spans="2:15" x14ac:dyDescent="0.25">
      <c r="B470" t="str">
        <f>IF(A470="","",_xlfn.XLOOKUP(A470,MAQUINAS!$A$3:$A$55,MAQUINAS!$B$3:$B$55,"No encontrada"))</f>
        <v/>
      </c>
      <c r="C470" s="5"/>
      <c r="D470" s="5"/>
      <c r="E470" s="4" t="str">
        <f t="shared" si="7"/>
        <v/>
      </c>
      <c r="O470" s="12"/>
    </row>
    <row r="471" spans="2:15" x14ac:dyDescent="0.25">
      <c r="B471" t="str">
        <f>IF(A471="","",_xlfn.XLOOKUP(A471,MAQUINAS!$A$3:$A$55,MAQUINAS!$B$3:$B$55,"No encontrada"))</f>
        <v/>
      </c>
      <c r="C471" s="5"/>
      <c r="D471" s="5"/>
      <c r="E471" s="4" t="str">
        <f t="shared" si="7"/>
        <v/>
      </c>
      <c r="O471" s="12"/>
    </row>
    <row r="472" spans="2:15" x14ac:dyDescent="0.25">
      <c r="B472" t="str">
        <f>IF(A472="","",_xlfn.XLOOKUP(A472,MAQUINAS!$A$3:$A$55,MAQUINAS!$B$3:$B$55,"No encontrada"))</f>
        <v/>
      </c>
      <c r="C472" s="5"/>
      <c r="D472" s="5"/>
      <c r="E472" s="4" t="str">
        <f t="shared" si="7"/>
        <v/>
      </c>
      <c r="O472" s="12"/>
    </row>
    <row r="473" spans="2:15" x14ac:dyDescent="0.25">
      <c r="B473" t="str">
        <f>IF(A473="","",_xlfn.XLOOKUP(A473,MAQUINAS!$A$3:$A$55,MAQUINAS!$B$3:$B$55,"No encontrada"))</f>
        <v/>
      </c>
      <c r="C473" s="5"/>
      <c r="D473" s="5"/>
      <c r="E473" s="4" t="str">
        <f t="shared" si="7"/>
        <v/>
      </c>
      <c r="O473" s="12"/>
    </row>
    <row r="474" spans="2:15" x14ac:dyDescent="0.25">
      <c r="B474" t="str">
        <f>IF(A474="","",_xlfn.XLOOKUP(A474,MAQUINAS!$A$3:$A$55,MAQUINAS!$B$3:$B$55,"No encontrada"))</f>
        <v/>
      </c>
      <c r="C474" s="5"/>
      <c r="D474" s="5"/>
      <c r="E474" s="4" t="str">
        <f t="shared" si="7"/>
        <v/>
      </c>
      <c r="O474" s="12"/>
    </row>
    <row r="475" spans="2:15" x14ac:dyDescent="0.25">
      <c r="B475" t="str">
        <f>IF(A475="","",_xlfn.XLOOKUP(A475,MAQUINAS!$A$3:$A$55,MAQUINAS!$B$3:$B$55,"No encontrada"))</f>
        <v/>
      </c>
      <c r="C475" s="5"/>
      <c r="D475" s="5"/>
      <c r="E475" s="4" t="str">
        <f t="shared" si="7"/>
        <v/>
      </c>
      <c r="O475" s="12"/>
    </row>
    <row r="476" spans="2:15" x14ac:dyDescent="0.25">
      <c r="B476" t="str">
        <f>IF(A476="","",_xlfn.XLOOKUP(A476,MAQUINAS!$A$3:$A$55,MAQUINAS!$B$3:$B$55,"No encontrada"))</f>
        <v/>
      </c>
      <c r="C476" s="5"/>
      <c r="D476" s="5"/>
      <c r="E476" s="4" t="str">
        <f t="shared" si="7"/>
        <v/>
      </c>
      <c r="O476" s="12"/>
    </row>
    <row r="477" spans="2:15" x14ac:dyDescent="0.25">
      <c r="B477" t="str">
        <f>IF(A477="","",_xlfn.XLOOKUP(A477,MAQUINAS!$A$3:$A$55,MAQUINAS!$B$3:$B$55,"No encontrada"))</f>
        <v/>
      </c>
      <c r="C477" s="5"/>
      <c r="D477" s="5"/>
      <c r="E477" s="4" t="str">
        <f t="shared" si="7"/>
        <v/>
      </c>
      <c r="O477" s="12"/>
    </row>
    <row r="478" spans="2:15" x14ac:dyDescent="0.25">
      <c r="B478" t="str">
        <f>IF(A478="","",_xlfn.XLOOKUP(A478,MAQUINAS!$A$3:$A$55,MAQUINAS!$B$3:$B$55,"No encontrada"))</f>
        <v/>
      </c>
      <c r="C478" s="5"/>
      <c r="D478" s="5"/>
      <c r="E478" s="4" t="str">
        <f t="shared" si="7"/>
        <v/>
      </c>
      <c r="O478" s="12"/>
    </row>
    <row r="479" spans="2:15" x14ac:dyDescent="0.25">
      <c r="B479" t="str">
        <f>IF(A479="","",_xlfn.XLOOKUP(A479,MAQUINAS!$A$3:$A$55,MAQUINAS!$B$3:$B$55,"No encontrada"))</f>
        <v/>
      </c>
      <c r="C479" s="5"/>
      <c r="D479" s="5"/>
      <c r="E479" s="4" t="str">
        <f t="shared" si="7"/>
        <v/>
      </c>
      <c r="O479" s="12"/>
    </row>
    <row r="480" spans="2:15" x14ac:dyDescent="0.25">
      <c r="B480" t="str">
        <f>IF(A480="","",_xlfn.XLOOKUP(A480,MAQUINAS!$A$3:$A$55,MAQUINAS!$B$3:$B$55,"No encontrada"))</f>
        <v/>
      </c>
      <c r="C480" s="5"/>
      <c r="D480" s="5"/>
      <c r="E480" s="4" t="str">
        <f t="shared" si="7"/>
        <v/>
      </c>
      <c r="O480" s="12"/>
    </row>
    <row r="481" spans="2:15" x14ac:dyDescent="0.25">
      <c r="B481" t="str">
        <f>IF(A481="","",_xlfn.XLOOKUP(A481,MAQUINAS!$A$3:$A$55,MAQUINAS!$B$3:$B$55,"No encontrada"))</f>
        <v/>
      </c>
      <c r="C481" s="5"/>
      <c r="D481" s="5"/>
      <c r="E481" s="4" t="str">
        <f t="shared" si="7"/>
        <v/>
      </c>
      <c r="O481" s="12"/>
    </row>
    <row r="482" spans="2:15" x14ac:dyDescent="0.25">
      <c r="B482" t="str">
        <f>IF(A482="","",_xlfn.XLOOKUP(A482,MAQUINAS!$A$3:$A$55,MAQUINAS!$B$3:$B$55,"No encontrada"))</f>
        <v/>
      </c>
      <c r="C482" s="5"/>
      <c r="D482" s="5"/>
      <c r="E482" s="4" t="str">
        <f t="shared" si="7"/>
        <v/>
      </c>
      <c r="O482" s="12"/>
    </row>
    <row r="483" spans="2:15" x14ac:dyDescent="0.25">
      <c r="B483" t="str">
        <f>IF(A483="","",_xlfn.XLOOKUP(A483,MAQUINAS!$A$3:$A$55,MAQUINAS!$B$3:$B$55,"No encontrada"))</f>
        <v/>
      </c>
      <c r="C483" s="5"/>
      <c r="D483" s="5"/>
      <c r="E483" s="4" t="str">
        <f t="shared" si="7"/>
        <v/>
      </c>
      <c r="O483" s="12"/>
    </row>
    <row r="484" spans="2:15" x14ac:dyDescent="0.25">
      <c r="B484" t="str">
        <f>IF(A484="","",_xlfn.XLOOKUP(A484,MAQUINAS!$A$3:$A$55,MAQUINAS!$B$3:$B$55,"No encontrada"))</f>
        <v/>
      </c>
      <c r="C484" s="5"/>
      <c r="D484" s="5"/>
      <c r="E484" s="4" t="str">
        <f t="shared" si="7"/>
        <v/>
      </c>
      <c r="O484" s="12"/>
    </row>
    <row r="485" spans="2:15" x14ac:dyDescent="0.25">
      <c r="B485" t="str">
        <f>IF(A485="","",_xlfn.XLOOKUP(A485,MAQUINAS!$A$3:$A$55,MAQUINAS!$B$3:$B$55,"No encontrada"))</f>
        <v/>
      </c>
      <c r="C485" s="5"/>
      <c r="D485" s="5"/>
      <c r="E485" s="4" t="str">
        <f t="shared" si="7"/>
        <v/>
      </c>
      <c r="O485" s="12"/>
    </row>
    <row r="486" spans="2:15" x14ac:dyDescent="0.25">
      <c r="B486" t="str">
        <f>IF(A486="","",_xlfn.XLOOKUP(A486,MAQUINAS!$A$3:$A$55,MAQUINAS!$B$3:$B$55,"No encontrada"))</f>
        <v/>
      </c>
      <c r="C486" s="5"/>
      <c r="D486" s="5"/>
      <c r="E486" s="4" t="str">
        <f t="shared" si="7"/>
        <v/>
      </c>
      <c r="O486" s="12"/>
    </row>
    <row r="487" spans="2:15" x14ac:dyDescent="0.25">
      <c r="B487" t="str">
        <f>IF(A487="","",_xlfn.XLOOKUP(A487,MAQUINAS!$A$3:$A$55,MAQUINAS!$B$3:$B$55,"No encontrada"))</f>
        <v/>
      </c>
      <c r="C487" s="5"/>
      <c r="D487" s="5"/>
      <c r="E487" s="4" t="str">
        <f t="shared" si="7"/>
        <v/>
      </c>
      <c r="O487" s="12"/>
    </row>
    <row r="488" spans="2:15" x14ac:dyDescent="0.25">
      <c r="B488" t="str">
        <f>IF(A488="","",_xlfn.XLOOKUP(A488,MAQUINAS!$A$3:$A$55,MAQUINAS!$B$3:$B$55,"No encontrada"))</f>
        <v/>
      </c>
      <c r="C488" s="5"/>
      <c r="D488" s="5"/>
      <c r="E488" s="4" t="str">
        <f t="shared" si="7"/>
        <v/>
      </c>
      <c r="O488" s="12"/>
    </row>
    <row r="489" spans="2:15" x14ac:dyDescent="0.25">
      <c r="B489" t="str">
        <f>IF(A489="","",_xlfn.XLOOKUP(A489,MAQUINAS!$A$3:$A$55,MAQUINAS!$B$3:$B$55,"No encontrada"))</f>
        <v/>
      </c>
      <c r="C489" s="5"/>
      <c r="D489" s="5"/>
      <c r="E489" s="4" t="str">
        <f t="shared" si="7"/>
        <v/>
      </c>
      <c r="O489" s="12"/>
    </row>
    <row r="490" spans="2:15" x14ac:dyDescent="0.25">
      <c r="B490" t="str">
        <f>IF(A490="","",_xlfn.XLOOKUP(A490,MAQUINAS!$A$3:$A$55,MAQUINAS!$B$3:$B$55,"No encontrada"))</f>
        <v/>
      </c>
      <c r="C490" s="5"/>
      <c r="D490" s="5"/>
      <c r="E490" s="4" t="str">
        <f t="shared" si="7"/>
        <v/>
      </c>
      <c r="O490" s="12"/>
    </row>
    <row r="491" spans="2:15" x14ac:dyDescent="0.25">
      <c r="B491" t="str">
        <f>IF(A491="","",_xlfn.XLOOKUP(A491,MAQUINAS!$A$3:$A$55,MAQUINAS!$B$3:$B$55,"No encontrada"))</f>
        <v/>
      </c>
      <c r="C491" s="5"/>
      <c r="D491" s="5"/>
      <c r="E491" s="4" t="str">
        <f t="shared" si="7"/>
        <v/>
      </c>
      <c r="O491" s="12"/>
    </row>
    <row r="492" spans="2:15" x14ac:dyDescent="0.25">
      <c r="B492" t="str">
        <f>IF(A492="","",_xlfn.XLOOKUP(A492,MAQUINAS!$A$3:$A$55,MAQUINAS!$B$3:$B$55,"No encontrada"))</f>
        <v/>
      </c>
      <c r="C492" s="5"/>
      <c r="D492" s="5"/>
      <c r="E492" s="4" t="str">
        <f t="shared" si="7"/>
        <v/>
      </c>
      <c r="O492" s="12"/>
    </row>
    <row r="493" spans="2:15" x14ac:dyDescent="0.25">
      <c r="B493" t="str">
        <f>IF(A493="","",_xlfn.XLOOKUP(A493,MAQUINAS!$A$3:$A$55,MAQUINAS!$B$3:$B$55,"No encontrada"))</f>
        <v/>
      </c>
      <c r="C493" s="5"/>
      <c r="D493" s="5"/>
      <c r="E493" s="4" t="str">
        <f t="shared" si="7"/>
        <v/>
      </c>
      <c r="O493" s="12"/>
    </row>
    <row r="494" spans="2:15" x14ac:dyDescent="0.25">
      <c r="B494" t="str">
        <f>IF(A494="","",_xlfn.XLOOKUP(A494,MAQUINAS!$A$3:$A$55,MAQUINAS!$B$3:$B$55,"No encontrada"))</f>
        <v/>
      </c>
      <c r="C494" s="5"/>
      <c r="D494" s="5"/>
      <c r="E494" s="4" t="str">
        <f t="shared" si="7"/>
        <v/>
      </c>
      <c r="O494" s="12"/>
    </row>
    <row r="495" spans="2:15" x14ac:dyDescent="0.25">
      <c r="B495" t="str">
        <f>IF(A495="","",_xlfn.XLOOKUP(A495,MAQUINAS!$A$3:$A$55,MAQUINAS!$B$3:$B$55,"No encontrada"))</f>
        <v/>
      </c>
      <c r="C495" s="5"/>
      <c r="D495" s="5"/>
      <c r="E495" s="4" t="str">
        <f t="shared" si="7"/>
        <v/>
      </c>
      <c r="O495" s="12"/>
    </row>
    <row r="496" spans="2:15" x14ac:dyDescent="0.25">
      <c r="B496" t="str">
        <f>IF(A496="","",_xlfn.XLOOKUP(A496,MAQUINAS!$A$3:$A$55,MAQUINAS!$B$3:$B$55,"No encontrada"))</f>
        <v/>
      </c>
      <c r="C496" s="5"/>
      <c r="D496" s="5"/>
      <c r="E496" s="4" t="str">
        <f t="shared" si="7"/>
        <v/>
      </c>
      <c r="O496" s="12"/>
    </row>
    <row r="497" spans="2:15" x14ac:dyDescent="0.25">
      <c r="B497" t="str">
        <f>IF(A497="","",_xlfn.XLOOKUP(A497,MAQUINAS!$A$3:$A$55,MAQUINAS!$B$3:$B$55,"No encontrada"))</f>
        <v/>
      </c>
      <c r="C497" s="5"/>
      <c r="D497" s="5"/>
      <c r="E497" s="4" t="str">
        <f t="shared" si="7"/>
        <v/>
      </c>
      <c r="O497" s="12"/>
    </row>
    <row r="498" spans="2:15" x14ac:dyDescent="0.25">
      <c r="B498" t="str">
        <f>IF(A498="","",_xlfn.XLOOKUP(A498,MAQUINAS!$A$3:$A$55,MAQUINAS!$B$3:$B$55,"No encontrada"))</f>
        <v/>
      </c>
      <c r="C498" s="5"/>
      <c r="D498" s="5"/>
      <c r="E498" s="4" t="str">
        <f t="shared" si="7"/>
        <v/>
      </c>
      <c r="O498" s="12"/>
    </row>
    <row r="499" spans="2:15" x14ac:dyDescent="0.25">
      <c r="B499" t="str">
        <f>IF(A499="","",_xlfn.XLOOKUP(A499,MAQUINAS!$A$3:$A$55,MAQUINAS!$B$3:$B$55,"No encontrada"))</f>
        <v/>
      </c>
      <c r="C499" s="5"/>
      <c r="D499" s="5"/>
      <c r="E499" s="4" t="str">
        <f t="shared" si="7"/>
        <v/>
      </c>
      <c r="O499" s="12"/>
    </row>
    <row r="500" spans="2:15" x14ac:dyDescent="0.25">
      <c r="B500" t="str">
        <f>IF(A500="","",_xlfn.XLOOKUP(A500,MAQUINAS!$A$3:$A$55,MAQUINAS!$B$3:$B$55,"No encontrada"))</f>
        <v/>
      </c>
      <c r="C500" s="5"/>
      <c r="D500" s="5"/>
      <c r="E500" s="4" t="str">
        <f t="shared" si="7"/>
        <v/>
      </c>
      <c r="O500" s="12"/>
    </row>
    <row r="501" spans="2:15" x14ac:dyDescent="0.25">
      <c r="B501" t="str">
        <f>IF(A501="","",_xlfn.XLOOKUP(A501,MAQUINAS!$A$3:$A$55,MAQUINAS!$B$3:$B$55,"No encontrada"))</f>
        <v/>
      </c>
      <c r="C501" s="5"/>
      <c r="D501" s="5"/>
      <c r="E501" s="4" t="str">
        <f t="shared" si="7"/>
        <v/>
      </c>
      <c r="O501" s="12"/>
    </row>
    <row r="502" spans="2:15" x14ac:dyDescent="0.25">
      <c r="B502" t="str">
        <f>IF(A502="","",_xlfn.XLOOKUP(A502,MAQUINAS!$A$3:$A$55,MAQUINAS!$B$3:$B$55,"No encontrada"))</f>
        <v/>
      </c>
      <c r="C502" s="5"/>
      <c r="D502" s="5"/>
      <c r="E502" s="4" t="str">
        <f t="shared" si="7"/>
        <v/>
      </c>
      <c r="O502" s="12"/>
    </row>
    <row r="503" spans="2:15" x14ac:dyDescent="0.25">
      <c r="B503" t="str">
        <f>IF(A503="","",_xlfn.XLOOKUP(A503,MAQUINAS!$A$3:$A$55,MAQUINAS!$B$3:$B$55,"No encontrada"))</f>
        <v/>
      </c>
      <c r="C503" s="5"/>
      <c r="D503" s="5"/>
      <c r="E503" s="4" t="str">
        <f t="shared" si="7"/>
        <v/>
      </c>
      <c r="O503" s="12"/>
    </row>
    <row r="504" spans="2:15" x14ac:dyDescent="0.25">
      <c r="B504" t="str">
        <f>IF(A504="","",_xlfn.XLOOKUP(A504,MAQUINAS!$A$3:$A$55,MAQUINAS!$B$3:$B$55,"No encontrada"))</f>
        <v/>
      </c>
      <c r="C504" s="5"/>
      <c r="D504" s="5"/>
      <c r="E504" s="4" t="str">
        <f t="shared" si="7"/>
        <v/>
      </c>
      <c r="O504" s="12"/>
    </row>
    <row r="505" spans="2:15" x14ac:dyDescent="0.25">
      <c r="B505" t="str">
        <f>IF(A505="","",_xlfn.XLOOKUP(A505,MAQUINAS!$A$3:$A$55,MAQUINAS!$B$3:$B$55,"No encontrada"))</f>
        <v/>
      </c>
      <c r="C505" s="5"/>
      <c r="D505" s="5"/>
      <c r="E505" s="4" t="str">
        <f t="shared" si="7"/>
        <v/>
      </c>
      <c r="O505" s="12"/>
    </row>
    <row r="506" spans="2:15" x14ac:dyDescent="0.25">
      <c r="B506" t="str">
        <f>IF(A506="","",_xlfn.XLOOKUP(A506,MAQUINAS!$A$3:$A$55,MAQUINAS!$B$3:$B$55,"No encontrada"))</f>
        <v/>
      </c>
      <c r="C506" s="5"/>
      <c r="D506" s="5"/>
      <c r="E506" s="4" t="str">
        <f t="shared" si="7"/>
        <v/>
      </c>
      <c r="O506" s="12"/>
    </row>
    <row r="507" spans="2:15" x14ac:dyDescent="0.25">
      <c r="B507" t="str">
        <f>IF(A507="","",_xlfn.XLOOKUP(A507,MAQUINAS!$A$3:$A$55,MAQUINAS!$B$3:$B$55,"No encontrada"))</f>
        <v/>
      </c>
      <c r="C507" s="5"/>
      <c r="D507" s="5"/>
      <c r="E507" s="4" t="str">
        <f t="shared" si="7"/>
        <v/>
      </c>
      <c r="O507" s="12"/>
    </row>
    <row r="508" spans="2:15" x14ac:dyDescent="0.25">
      <c r="B508" t="str">
        <f>IF(A508="","",_xlfn.XLOOKUP(A508,MAQUINAS!$A$3:$A$55,MAQUINAS!$B$3:$B$55,"No encontrada"))</f>
        <v/>
      </c>
      <c r="C508" s="5"/>
      <c r="D508" s="5"/>
      <c r="E508" s="4" t="str">
        <f t="shared" si="7"/>
        <v/>
      </c>
      <c r="O508" s="12"/>
    </row>
    <row r="509" spans="2:15" x14ac:dyDescent="0.25">
      <c r="B509" t="str">
        <f>IF(A509="","",_xlfn.XLOOKUP(A509,MAQUINAS!$A$3:$A$55,MAQUINAS!$B$3:$B$55,"No encontrada"))</f>
        <v/>
      </c>
      <c r="C509" s="5"/>
      <c r="D509" s="5"/>
      <c r="E509" s="4" t="str">
        <f t="shared" si="7"/>
        <v/>
      </c>
      <c r="O509" s="12"/>
    </row>
    <row r="510" spans="2:15" x14ac:dyDescent="0.25">
      <c r="B510" t="str">
        <f>IF(A510="","",_xlfn.XLOOKUP(A510,MAQUINAS!$A$3:$A$55,MAQUINAS!$B$3:$B$55,"No encontrada"))</f>
        <v/>
      </c>
      <c r="C510" s="5"/>
      <c r="D510" s="5"/>
      <c r="E510" s="4" t="str">
        <f t="shared" si="7"/>
        <v/>
      </c>
      <c r="O510" s="12"/>
    </row>
    <row r="511" spans="2:15" x14ac:dyDescent="0.25">
      <c r="B511" t="str">
        <f>IF(A511="","",_xlfn.XLOOKUP(A511,MAQUINAS!$A$3:$A$55,MAQUINAS!$B$3:$B$55,"No encontrada"))</f>
        <v/>
      </c>
      <c r="C511" s="5"/>
      <c r="D511" s="5"/>
      <c r="E511" s="4" t="str">
        <f t="shared" si="7"/>
        <v/>
      </c>
      <c r="O511" s="12"/>
    </row>
    <row r="512" spans="2:15" x14ac:dyDescent="0.25">
      <c r="B512" t="str">
        <f>IF(A512="","",_xlfn.XLOOKUP(A512,MAQUINAS!$A$3:$A$55,MAQUINAS!$B$3:$B$55,"No encontrada"))</f>
        <v/>
      </c>
      <c r="C512" s="5"/>
      <c r="D512" s="5"/>
      <c r="E512" s="4" t="str">
        <f t="shared" si="7"/>
        <v/>
      </c>
      <c r="O512" s="12"/>
    </row>
    <row r="513" spans="2:15" x14ac:dyDescent="0.25">
      <c r="B513" t="str">
        <f>IF(A513="","",_xlfn.XLOOKUP(A513,MAQUINAS!$A$3:$A$55,MAQUINAS!$B$3:$B$55,"No encontrada"))</f>
        <v/>
      </c>
      <c r="C513" s="5"/>
      <c r="D513" s="5"/>
      <c r="E513" s="4" t="str">
        <f t="shared" si="7"/>
        <v/>
      </c>
      <c r="O513" s="12"/>
    </row>
    <row r="514" spans="2:15" x14ac:dyDescent="0.25">
      <c r="B514" t="str">
        <f>IF(A514="","",_xlfn.XLOOKUP(A514,MAQUINAS!$A$3:$A$55,MAQUINAS!$B$3:$B$55,"No encontrada"))</f>
        <v/>
      </c>
      <c r="C514" s="5"/>
      <c r="D514" s="5"/>
      <c r="E514" s="4" t="str">
        <f t="shared" si="7"/>
        <v/>
      </c>
      <c r="O514" s="12"/>
    </row>
    <row r="515" spans="2:15" x14ac:dyDescent="0.25">
      <c r="B515" t="str">
        <f>IF(A515="","",_xlfn.XLOOKUP(A515,MAQUINAS!$A$3:$A$55,MAQUINAS!$B$3:$B$55,"No encontrada"))</f>
        <v/>
      </c>
      <c r="C515" s="5"/>
      <c r="D515" s="5"/>
      <c r="E515" s="4" t="str">
        <f t="shared" ref="E515:E578" si="8">IF(OR(C515="",D515=""),"",MOD(D515-C515,1))</f>
        <v/>
      </c>
      <c r="O515" s="12"/>
    </row>
    <row r="516" spans="2:15" x14ac:dyDescent="0.25">
      <c r="B516" t="str">
        <f>IF(A516="","",_xlfn.XLOOKUP(A516,MAQUINAS!$A$3:$A$55,MAQUINAS!$B$3:$B$55,"No encontrada"))</f>
        <v/>
      </c>
      <c r="C516" s="5"/>
      <c r="D516" s="5"/>
      <c r="E516" s="4" t="str">
        <f t="shared" si="8"/>
        <v/>
      </c>
      <c r="O516" s="12"/>
    </row>
    <row r="517" spans="2:15" x14ac:dyDescent="0.25">
      <c r="B517" t="str">
        <f>IF(A517="","",_xlfn.XLOOKUP(A517,MAQUINAS!$A$3:$A$55,MAQUINAS!$B$3:$B$55,"No encontrada"))</f>
        <v/>
      </c>
      <c r="C517" s="5"/>
      <c r="D517" s="5"/>
      <c r="E517" s="4" t="str">
        <f t="shared" si="8"/>
        <v/>
      </c>
      <c r="O517" s="12"/>
    </row>
    <row r="518" spans="2:15" x14ac:dyDescent="0.25">
      <c r="B518" t="str">
        <f>IF(A518="","",_xlfn.XLOOKUP(A518,MAQUINAS!$A$3:$A$55,MAQUINAS!$B$3:$B$55,"No encontrada"))</f>
        <v/>
      </c>
      <c r="C518" s="5"/>
      <c r="D518" s="5"/>
      <c r="E518" s="4" t="str">
        <f t="shared" si="8"/>
        <v/>
      </c>
      <c r="O518" s="12"/>
    </row>
    <row r="519" spans="2:15" x14ac:dyDescent="0.25">
      <c r="B519" t="str">
        <f>IF(A519="","",_xlfn.XLOOKUP(A519,MAQUINAS!$A$3:$A$55,MAQUINAS!$B$3:$B$55,"No encontrada"))</f>
        <v/>
      </c>
      <c r="C519" s="5"/>
      <c r="D519" s="5"/>
      <c r="E519" s="4" t="str">
        <f t="shared" si="8"/>
        <v/>
      </c>
      <c r="O519" s="12"/>
    </row>
    <row r="520" spans="2:15" x14ac:dyDescent="0.25">
      <c r="B520" t="str">
        <f>IF(A520="","",_xlfn.XLOOKUP(A520,MAQUINAS!$A$3:$A$55,MAQUINAS!$B$3:$B$55,"No encontrada"))</f>
        <v/>
      </c>
      <c r="C520" s="5"/>
      <c r="D520" s="5"/>
      <c r="E520" s="4" t="str">
        <f t="shared" si="8"/>
        <v/>
      </c>
      <c r="O520" s="12"/>
    </row>
    <row r="521" spans="2:15" x14ac:dyDescent="0.25">
      <c r="B521" t="str">
        <f>IF(A521="","",_xlfn.XLOOKUP(A521,MAQUINAS!$A$3:$A$55,MAQUINAS!$B$3:$B$55,"No encontrada"))</f>
        <v/>
      </c>
      <c r="C521" s="5"/>
      <c r="D521" s="5"/>
      <c r="E521" s="4" t="str">
        <f t="shared" si="8"/>
        <v/>
      </c>
      <c r="O521" s="12"/>
    </row>
    <row r="522" spans="2:15" x14ac:dyDescent="0.25">
      <c r="B522" t="str">
        <f>IF(A522="","",_xlfn.XLOOKUP(A522,MAQUINAS!$A$3:$A$55,MAQUINAS!$B$3:$B$55,"No encontrada"))</f>
        <v/>
      </c>
      <c r="C522" s="5"/>
      <c r="D522" s="5"/>
      <c r="E522" s="4" t="str">
        <f t="shared" si="8"/>
        <v/>
      </c>
      <c r="O522" s="12"/>
    </row>
    <row r="523" spans="2:15" x14ac:dyDescent="0.25">
      <c r="B523" t="str">
        <f>IF(A523="","",_xlfn.XLOOKUP(A523,MAQUINAS!$A$3:$A$55,MAQUINAS!$B$3:$B$55,"No encontrada"))</f>
        <v/>
      </c>
      <c r="C523" s="5"/>
      <c r="D523" s="5"/>
      <c r="E523" s="4" t="str">
        <f t="shared" si="8"/>
        <v/>
      </c>
      <c r="O523" s="12"/>
    </row>
    <row r="524" spans="2:15" x14ac:dyDescent="0.25">
      <c r="B524" t="str">
        <f>IF(A524="","",_xlfn.XLOOKUP(A524,MAQUINAS!$A$3:$A$55,MAQUINAS!$B$3:$B$55,"No encontrada"))</f>
        <v/>
      </c>
      <c r="C524" s="5"/>
      <c r="D524" s="5"/>
      <c r="E524" s="4" t="str">
        <f t="shared" si="8"/>
        <v/>
      </c>
      <c r="O524" s="12"/>
    </row>
    <row r="525" spans="2:15" x14ac:dyDescent="0.25">
      <c r="B525" t="str">
        <f>IF(A525="","",_xlfn.XLOOKUP(A525,MAQUINAS!$A$3:$A$55,MAQUINAS!$B$3:$B$55,"No encontrada"))</f>
        <v/>
      </c>
      <c r="C525" s="5"/>
      <c r="D525" s="5"/>
      <c r="E525" s="4" t="str">
        <f t="shared" si="8"/>
        <v/>
      </c>
      <c r="O525" s="12"/>
    </row>
    <row r="526" spans="2:15" x14ac:dyDescent="0.25">
      <c r="B526" t="str">
        <f>IF(A526="","",_xlfn.XLOOKUP(A526,MAQUINAS!$A$3:$A$55,MAQUINAS!$B$3:$B$55,"No encontrada"))</f>
        <v/>
      </c>
      <c r="C526" s="5"/>
      <c r="D526" s="5"/>
      <c r="E526" s="4" t="str">
        <f t="shared" si="8"/>
        <v/>
      </c>
      <c r="O526" s="12"/>
    </row>
    <row r="527" spans="2:15" x14ac:dyDescent="0.25">
      <c r="B527" t="str">
        <f>IF(A527="","",_xlfn.XLOOKUP(A527,MAQUINAS!$A$3:$A$55,MAQUINAS!$B$3:$B$55,"No encontrada"))</f>
        <v/>
      </c>
      <c r="C527" s="5"/>
      <c r="D527" s="5"/>
      <c r="E527" s="4" t="str">
        <f t="shared" si="8"/>
        <v/>
      </c>
      <c r="O527" s="12"/>
    </row>
    <row r="528" spans="2:15" x14ac:dyDescent="0.25">
      <c r="B528" t="str">
        <f>IF(A528="","",_xlfn.XLOOKUP(A528,MAQUINAS!$A$3:$A$55,MAQUINAS!$B$3:$B$55,"No encontrada"))</f>
        <v/>
      </c>
      <c r="C528" s="5"/>
      <c r="D528" s="5"/>
      <c r="E528" s="4" t="str">
        <f t="shared" si="8"/>
        <v/>
      </c>
      <c r="O528" s="12"/>
    </row>
    <row r="529" spans="2:15" x14ac:dyDescent="0.25">
      <c r="B529" t="str">
        <f>IF(A529="","",_xlfn.XLOOKUP(A529,MAQUINAS!$A$3:$A$55,MAQUINAS!$B$3:$B$55,"No encontrada"))</f>
        <v/>
      </c>
      <c r="C529" s="5"/>
      <c r="D529" s="5"/>
      <c r="E529" s="4" t="str">
        <f t="shared" si="8"/>
        <v/>
      </c>
      <c r="O529" s="12"/>
    </row>
    <row r="530" spans="2:15" x14ac:dyDescent="0.25">
      <c r="B530" t="str">
        <f>IF(A530="","",_xlfn.XLOOKUP(A530,MAQUINAS!$A$3:$A$55,MAQUINAS!$B$3:$B$55,"No encontrada"))</f>
        <v/>
      </c>
      <c r="C530" s="5"/>
      <c r="D530" s="5"/>
      <c r="E530" s="4" t="str">
        <f t="shared" si="8"/>
        <v/>
      </c>
      <c r="O530" s="12"/>
    </row>
    <row r="531" spans="2:15" x14ac:dyDescent="0.25">
      <c r="B531" t="str">
        <f>IF(A531="","",_xlfn.XLOOKUP(A531,MAQUINAS!$A$3:$A$55,MAQUINAS!$B$3:$B$55,"No encontrada"))</f>
        <v/>
      </c>
      <c r="C531" s="5"/>
      <c r="D531" s="5"/>
      <c r="E531" s="4" t="str">
        <f t="shared" si="8"/>
        <v/>
      </c>
      <c r="O531" s="12"/>
    </row>
    <row r="532" spans="2:15" x14ac:dyDescent="0.25">
      <c r="B532" t="str">
        <f>IF(A532="","",_xlfn.XLOOKUP(A532,MAQUINAS!$A$3:$A$55,MAQUINAS!$B$3:$B$55,"No encontrada"))</f>
        <v/>
      </c>
      <c r="C532" s="5"/>
      <c r="D532" s="5"/>
      <c r="E532" s="4" t="str">
        <f t="shared" si="8"/>
        <v/>
      </c>
      <c r="O532" s="12"/>
    </row>
    <row r="533" spans="2:15" x14ac:dyDescent="0.25">
      <c r="B533" t="str">
        <f>IF(A533="","",_xlfn.XLOOKUP(A533,MAQUINAS!$A$3:$A$55,MAQUINAS!$B$3:$B$55,"No encontrada"))</f>
        <v/>
      </c>
      <c r="C533" s="5"/>
      <c r="D533" s="5"/>
      <c r="E533" s="4" t="str">
        <f t="shared" si="8"/>
        <v/>
      </c>
      <c r="O533" s="12"/>
    </row>
    <row r="534" spans="2:15" x14ac:dyDescent="0.25">
      <c r="B534" t="str">
        <f>IF(A534="","",_xlfn.XLOOKUP(A534,MAQUINAS!$A$3:$A$55,MAQUINAS!$B$3:$B$55,"No encontrada"))</f>
        <v/>
      </c>
      <c r="C534" s="5"/>
      <c r="D534" s="5"/>
      <c r="E534" s="4" t="str">
        <f t="shared" si="8"/>
        <v/>
      </c>
      <c r="O534" s="12"/>
    </row>
    <row r="535" spans="2:15" x14ac:dyDescent="0.25">
      <c r="B535" t="str">
        <f>IF(A535="","",_xlfn.XLOOKUP(A535,MAQUINAS!$A$3:$A$55,MAQUINAS!$B$3:$B$55,"No encontrada"))</f>
        <v/>
      </c>
      <c r="C535" s="5"/>
      <c r="D535" s="5"/>
      <c r="E535" s="4" t="str">
        <f t="shared" si="8"/>
        <v/>
      </c>
      <c r="O535" s="12"/>
    </row>
    <row r="536" spans="2:15" x14ac:dyDescent="0.25">
      <c r="B536" t="str">
        <f>IF(A536="","",_xlfn.XLOOKUP(A536,MAQUINAS!$A$3:$A$55,MAQUINAS!$B$3:$B$55,"No encontrada"))</f>
        <v/>
      </c>
      <c r="C536" s="5"/>
      <c r="D536" s="5"/>
      <c r="E536" s="4" t="str">
        <f t="shared" si="8"/>
        <v/>
      </c>
      <c r="O536" s="12"/>
    </row>
    <row r="537" spans="2:15" x14ac:dyDescent="0.25">
      <c r="B537" t="str">
        <f>IF(A537="","",_xlfn.XLOOKUP(A537,MAQUINAS!$A$3:$A$55,MAQUINAS!$B$3:$B$55,"No encontrada"))</f>
        <v/>
      </c>
      <c r="C537" s="5"/>
      <c r="D537" s="5"/>
      <c r="E537" s="4" t="str">
        <f t="shared" si="8"/>
        <v/>
      </c>
      <c r="O537" s="12"/>
    </row>
    <row r="538" spans="2:15" x14ac:dyDescent="0.25">
      <c r="B538" t="str">
        <f>IF(A538="","",_xlfn.XLOOKUP(A538,MAQUINAS!$A$3:$A$55,MAQUINAS!$B$3:$B$55,"No encontrada"))</f>
        <v/>
      </c>
      <c r="C538" s="5"/>
      <c r="D538" s="5"/>
      <c r="E538" s="4" t="str">
        <f t="shared" si="8"/>
        <v/>
      </c>
      <c r="O538" s="12"/>
    </row>
    <row r="539" spans="2:15" x14ac:dyDescent="0.25">
      <c r="B539" t="str">
        <f>IF(A539="","",_xlfn.XLOOKUP(A539,MAQUINAS!$A$3:$A$55,MAQUINAS!$B$3:$B$55,"No encontrada"))</f>
        <v/>
      </c>
      <c r="C539" s="5"/>
      <c r="D539" s="5"/>
      <c r="E539" s="4" t="str">
        <f t="shared" si="8"/>
        <v/>
      </c>
      <c r="O539" s="12"/>
    </row>
    <row r="540" spans="2:15" x14ac:dyDescent="0.25">
      <c r="B540" t="str">
        <f>IF(A540="","",_xlfn.XLOOKUP(A540,MAQUINAS!$A$3:$A$55,MAQUINAS!$B$3:$B$55,"No encontrada"))</f>
        <v/>
      </c>
      <c r="C540" s="5"/>
      <c r="D540" s="5"/>
      <c r="E540" s="4" t="str">
        <f t="shared" si="8"/>
        <v/>
      </c>
      <c r="O540" s="12"/>
    </row>
    <row r="541" spans="2:15" x14ac:dyDescent="0.25">
      <c r="B541" t="str">
        <f>IF(A541="","",_xlfn.XLOOKUP(A541,MAQUINAS!$A$3:$A$55,MAQUINAS!$B$3:$B$55,"No encontrada"))</f>
        <v/>
      </c>
      <c r="C541" s="5"/>
      <c r="D541" s="5"/>
      <c r="E541" s="4" t="str">
        <f t="shared" si="8"/>
        <v/>
      </c>
      <c r="O541" s="12"/>
    </row>
    <row r="542" spans="2:15" x14ac:dyDescent="0.25">
      <c r="B542" t="str">
        <f>IF(A542="","",_xlfn.XLOOKUP(A542,MAQUINAS!$A$3:$A$55,MAQUINAS!$B$3:$B$55,"No encontrada"))</f>
        <v/>
      </c>
      <c r="C542" s="5"/>
      <c r="D542" s="5"/>
      <c r="E542" s="4" t="str">
        <f t="shared" si="8"/>
        <v/>
      </c>
      <c r="O542" s="12"/>
    </row>
    <row r="543" spans="2:15" x14ac:dyDescent="0.25">
      <c r="B543" t="str">
        <f>IF(A543="","",_xlfn.XLOOKUP(A543,MAQUINAS!$A$3:$A$55,MAQUINAS!$B$3:$B$55,"No encontrada"))</f>
        <v/>
      </c>
      <c r="C543" s="5"/>
      <c r="D543" s="5"/>
      <c r="E543" s="4" t="str">
        <f t="shared" si="8"/>
        <v/>
      </c>
      <c r="O543" s="12"/>
    </row>
    <row r="544" spans="2:15" x14ac:dyDescent="0.25">
      <c r="B544" t="str">
        <f>IF(A544="","",_xlfn.XLOOKUP(A544,MAQUINAS!$A$3:$A$55,MAQUINAS!$B$3:$B$55,"No encontrada"))</f>
        <v/>
      </c>
      <c r="C544" s="5"/>
      <c r="D544" s="5"/>
      <c r="E544" s="4" t="str">
        <f t="shared" si="8"/>
        <v/>
      </c>
      <c r="O544" s="12"/>
    </row>
    <row r="545" spans="2:15" x14ac:dyDescent="0.25">
      <c r="B545" t="str">
        <f>IF(A545="","",_xlfn.XLOOKUP(A545,MAQUINAS!$A$3:$A$55,MAQUINAS!$B$3:$B$55,"No encontrada"))</f>
        <v/>
      </c>
      <c r="C545" s="5"/>
      <c r="D545" s="5"/>
      <c r="E545" s="4" t="str">
        <f t="shared" si="8"/>
        <v/>
      </c>
      <c r="O545" s="12"/>
    </row>
    <row r="546" spans="2:15" x14ac:dyDescent="0.25">
      <c r="B546" t="str">
        <f>IF(A546="","",_xlfn.XLOOKUP(A546,MAQUINAS!$A$3:$A$55,MAQUINAS!$B$3:$B$55,"No encontrada"))</f>
        <v/>
      </c>
      <c r="C546" s="5"/>
      <c r="D546" s="5"/>
      <c r="E546" s="4" t="str">
        <f t="shared" si="8"/>
        <v/>
      </c>
      <c r="O546" s="12"/>
    </row>
    <row r="547" spans="2:15" x14ac:dyDescent="0.25">
      <c r="B547" t="str">
        <f>IF(A547="","",_xlfn.XLOOKUP(A547,MAQUINAS!$A$3:$A$55,MAQUINAS!$B$3:$B$55,"No encontrada"))</f>
        <v/>
      </c>
      <c r="C547" s="5"/>
      <c r="D547" s="5"/>
      <c r="E547" s="4" t="str">
        <f t="shared" si="8"/>
        <v/>
      </c>
      <c r="O547" s="12"/>
    </row>
    <row r="548" spans="2:15" x14ac:dyDescent="0.25">
      <c r="B548" t="str">
        <f>IF(A548="","",_xlfn.XLOOKUP(A548,MAQUINAS!$A$3:$A$55,MAQUINAS!$B$3:$B$55,"No encontrada"))</f>
        <v/>
      </c>
      <c r="C548" s="5"/>
      <c r="D548" s="5"/>
      <c r="E548" s="4" t="str">
        <f t="shared" si="8"/>
        <v/>
      </c>
      <c r="O548" s="12"/>
    </row>
    <row r="549" spans="2:15" x14ac:dyDescent="0.25">
      <c r="B549" t="str">
        <f>IF(A549="","",_xlfn.XLOOKUP(A549,MAQUINAS!$A$3:$A$55,MAQUINAS!$B$3:$B$55,"No encontrada"))</f>
        <v/>
      </c>
      <c r="C549" s="5"/>
      <c r="D549" s="5"/>
      <c r="E549" s="4" t="str">
        <f t="shared" si="8"/>
        <v/>
      </c>
      <c r="O549" s="12"/>
    </row>
    <row r="550" spans="2:15" x14ac:dyDescent="0.25">
      <c r="B550" t="str">
        <f>IF(A550="","",_xlfn.XLOOKUP(A550,MAQUINAS!$A$3:$A$55,MAQUINAS!$B$3:$B$55,"No encontrada"))</f>
        <v/>
      </c>
      <c r="C550" s="5"/>
      <c r="D550" s="5"/>
      <c r="E550" s="4" t="str">
        <f t="shared" si="8"/>
        <v/>
      </c>
      <c r="O550" s="12"/>
    </row>
    <row r="551" spans="2:15" x14ac:dyDescent="0.25">
      <c r="B551" t="str">
        <f>IF(A551="","",_xlfn.XLOOKUP(A551,MAQUINAS!$A$3:$A$55,MAQUINAS!$B$3:$B$55,"No encontrada"))</f>
        <v/>
      </c>
      <c r="C551" s="5"/>
      <c r="D551" s="5"/>
      <c r="E551" s="4" t="str">
        <f t="shared" si="8"/>
        <v/>
      </c>
      <c r="O551" s="12"/>
    </row>
    <row r="552" spans="2:15" x14ac:dyDescent="0.25">
      <c r="B552" t="str">
        <f>IF(A552="","",_xlfn.XLOOKUP(A552,MAQUINAS!$A$3:$A$55,MAQUINAS!$B$3:$B$55,"No encontrada"))</f>
        <v/>
      </c>
      <c r="C552" s="5"/>
      <c r="D552" s="5"/>
      <c r="E552" s="4" t="str">
        <f t="shared" si="8"/>
        <v/>
      </c>
      <c r="O552" s="12"/>
    </row>
    <row r="553" spans="2:15" x14ac:dyDescent="0.25">
      <c r="B553" t="str">
        <f>IF(A553="","",_xlfn.XLOOKUP(A553,MAQUINAS!$A$3:$A$55,MAQUINAS!$B$3:$B$55,"No encontrada"))</f>
        <v/>
      </c>
      <c r="C553" s="5"/>
      <c r="D553" s="5"/>
      <c r="E553" s="4" t="str">
        <f t="shared" si="8"/>
        <v/>
      </c>
      <c r="O553" s="12"/>
    </row>
    <row r="554" spans="2:15" x14ac:dyDescent="0.25">
      <c r="B554" t="str">
        <f>IF(A554="","",_xlfn.XLOOKUP(A554,MAQUINAS!$A$3:$A$55,MAQUINAS!$B$3:$B$55,"No encontrada"))</f>
        <v/>
      </c>
      <c r="C554" s="5"/>
      <c r="D554" s="5"/>
      <c r="E554" s="4" t="str">
        <f t="shared" si="8"/>
        <v/>
      </c>
      <c r="O554" s="12"/>
    </row>
    <row r="555" spans="2:15" x14ac:dyDescent="0.25">
      <c r="B555" t="str">
        <f>IF(A555="","",_xlfn.XLOOKUP(A555,MAQUINAS!$A$3:$A$55,MAQUINAS!$B$3:$B$55,"No encontrada"))</f>
        <v/>
      </c>
      <c r="C555" s="5"/>
      <c r="D555" s="5"/>
      <c r="E555" s="4" t="str">
        <f t="shared" si="8"/>
        <v/>
      </c>
      <c r="O555" s="12"/>
    </row>
    <row r="556" spans="2:15" x14ac:dyDescent="0.25">
      <c r="B556" t="str">
        <f>IF(A556="","",_xlfn.XLOOKUP(A556,MAQUINAS!$A$3:$A$55,MAQUINAS!$B$3:$B$55,"No encontrada"))</f>
        <v/>
      </c>
      <c r="C556" s="5"/>
      <c r="D556" s="5"/>
      <c r="E556" s="4" t="str">
        <f t="shared" si="8"/>
        <v/>
      </c>
      <c r="O556" s="12"/>
    </row>
    <row r="557" spans="2:15" x14ac:dyDescent="0.25">
      <c r="B557" t="str">
        <f>IF(A557="","",_xlfn.XLOOKUP(A557,MAQUINAS!$A$3:$A$55,MAQUINAS!$B$3:$B$55,"No encontrada"))</f>
        <v/>
      </c>
      <c r="C557" s="5"/>
      <c r="D557" s="5"/>
      <c r="E557" s="4" t="str">
        <f t="shared" si="8"/>
        <v/>
      </c>
      <c r="O557" s="12"/>
    </row>
    <row r="558" spans="2:15" x14ac:dyDescent="0.25">
      <c r="B558" t="str">
        <f>IF(A558="","",_xlfn.XLOOKUP(A558,MAQUINAS!$A$3:$A$55,MAQUINAS!$B$3:$B$55,"No encontrada"))</f>
        <v/>
      </c>
      <c r="C558" s="5"/>
      <c r="D558" s="5"/>
      <c r="E558" s="4" t="str">
        <f t="shared" si="8"/>
        <v/>
      </c>
      <c r="O558" s="12"/>
    </row>
    <row r="559" spans="2:15" x14ac:dyDescent="0.25">
      <c r="B559" t="str">
        <f>IF(A559="","",_xlfn.XLOOKUP(A559,MAQUINAS!$A$3:$A$55,MAQUINAS!$B$3:$B$55,"No encontrada"))</f>
        <v/>
      </c>
      <c r="C559" s="5"/>
      <c r="D559" s="5"/>
      <c r="E559" s="4" t="str">
        <f t="shared" si="8"/>
        <v/>
      </c>
      <c r="O559" s="12"/>
    </row>
    <row r="560" spans="2:15" x14ac:dyDescent="0.25">
      <c r="B560" t="str">
        <f>IF(A560="","",_xlfn.XLOOKUP(A560,MAQUINAS!$A$3:$A$55,MAQUINAS!$B$3:$B$55,"No encontrada"))</f>
        <v/>
      </c>
      <c r="C560" s="5"/>
      <c r="D560" s="5"/>
      <c r="E560" s="4" t="str">
        <f t="shared" si="8"/>
        <v/>
      </c>
      <c r="O560" s="12"/>
    </row>
    <row r="561" spans="2:15" x14ac:dyDescent="0.25">
      <c r="B561" t="str">
        <f>IF(A561="","",_xlfn.XLOOKUP(A561,MAQUINAS!$A$3:$A$55,MAQUINAS!$B$3:$B$55,"No encontrada"))</f>
        <v/>
      </c>
      <c r="C561" s="5"/>
      <c r="D561" s="5"/>
      <c r="E561" s="4" t="str">
        <f t="shared" si="8"/>
        <v/>
      </c>
      <c r="O561" s="12"/>
    </row>
    <row r="562" spans="2:15" x14ac:dyDescent="0.25">
      <c r="B562" t="str">
        <f>IF(A562="","",_xlfn.XLOOKUP(A562,MAQUINAS!$A$3:$A$55,MAQUINAS!$B$3:$B$55,"No encontrada"))</f>
        <v/>
      </c>
      <c r="C562" s="5"/>
      <c r="D562" s="5"/>
      <c r="E562" s="4" t="str">
        <f t="shared" si="8"/>
        <v/>
      </c>
      <c r="O562" s="12"/>
    </row>
    <row r="563" spans="2:15" x14ac:dyDescent="0.25">
      <c r="B563" t="str">
        <f>IF(A563="","",_xlfn.XLOOKUP(A563,MAQUINAS!$A$3:$A$55,MAQUINAS!$B$3:$B$55,"No encontrada"))</f>
        <v/>
      </c>
      <c r="C563" s="5"/>
      <c r="D563" s="5"/>
      <c r="E563" s="4" t="str">
        <f t="shared" si="8"/>
        <v/>
      </c>
      <c r="O563" s="12"/>
    </row>
    <row r="564" spans="2:15" x14ac:dyDescent="0.25">
      <c r="B564" t="str">
        <f>IF(A564="","",_xlfn.XLOOKUP(A564,MAQUINAS!$A$3:$A$55,MAQUINAS!$B$3:$B$55,"No encontrada"))</f>
        <v/>
      </c>
      <c r="C564" s="5"/>
      <c r="D564" s="5"/>
      <c r="E564" s="4" t="str">
        <f t="shared" si="8"/>
        <v/>
      </c>
      <c r="O564" s="12"/>
    </row>
    <row r="565" spans="2:15" x14ac:dyDescent="0.25">
      <c r="B565" t="str">
        <f>IF(A565="","",_xlfn.XLOOKUP(A565,MAQUINAS!$A$3:$A$55,MAQUINAS!$B$3:$B$55,"No encontrada"))</f>
        <v/>
      </c>
      <c r="C565" s="5"/>
      <c r="D565" s="5"/>
      <c r="E565" s="4" t="str">
        <f t="shared" si="8"/>
        <v/>
      </c>
      <c r="O565" s="12"/>
    </row>
    <row r="566" spans="2:15" x14ac:dyDescent="0.25">
      <c r="B566" t="str">
        <f>IF(A566="","",_xlfn.XLOOKUP(A566,MAQUINAS!$A$3:$A$55,MAQUINAS!$B$3:$B$55,"No encontrada"))</f>
        <v/>
      </c>
      <c r="C566" s="5"/>
      <c r="D566" s="5"/>
      <c r="E566" s="4" t="str">
        <f t="shared" si="8"/>
        <v/>
      </c>
      <c r="O566" s="12"/>
    </row>
    <row r="567" spans="2:15" x14ac:dyDescent="0.25">
      <c r="B567" t="str">
        <f>IF(A567="","",_xlfn.XLOOKUP(A567,MAQUINAS!$A$3:$A$55,MAQUINAS!$B$3:$B$55,"No encontrada"))</f>
        <v/>
      </c>
      <c r="C567" s="5"/>
      <c r="D567" s="5"/>
      <c r="E567" s="4" t="str">
        <f t="shared" si="8"/>
        <v/>
      </c>
      <c r="O567" s="12"/>
    </row>
    <row r="568" spans="2:15" x14ac:dyDescent="0.25">
      <c r="B568" t="str">
        <f>IF(A568="","",_xlfn.XLOOKUP(A568,MAQUINAS!$A$3:$A$55,MAQUINAS!$B$3:$B$55,"No encontrada"))</f>
        <v/>
      </c>
      <c r="C568" s="5"/>
      <c r="D568" s="5"/>
      <c r="E568" s="4" t="str">
        <f t="shared" si="8"/>
        <v/>
      </c>
      <c r="O568" s="12"/>
    </row>
    <row r="569" spans="2:15" x14ac:dyDescent="0.25">
      <c r="B569" t="str">
        <f>IF(A569="","",_xlfn.XLOOKUP(A569,MAQUINAS!$A$3:$A$55,MAQUINAS!$B$3:$B$55,"No encontrada"))</f>
        <v/>
      </c>
      <c r="C569" s="5"/>
      <c r="D569" s="5"/>
      <c r="E569" s="4" t="str">
        <f t="shared" si="8"/>
        <v/>
      </c>
      <c r="O569" s="12"/>
    </row>
    <row r="570" spans="2:15" x14ac:dyDescent="0.25">
      <c r="B570" t="str">
        <f>IF(A570="","",_xlfn.XLOOKUP(A570,MAQUINAS!$A$3:$A$55,MAQUINAS!$B$3:$B$55,"No encontrada"))</f>
        <v/>
      </c>
      <c r="C570" s="5"/>
      <c r="D570" s="5"/>
      <c r="E570" s="4" t="str">
        <f t="shared" si="8"/>
        <v/>
      </c>
      <c r="O570" s="12"/>
    </row>
    <row r="571" spans="2:15" x14ac:dyDescent="0.25">
      <c r="B571" t="str">
        <f>IF(A571="","",_xlfn.XLOOKUP(A571,MAQUINAS!$A$3:$A$55,MAQUINAS!$B$3:$B$55,"No encontrada"))</f>
        <v/>
      </c>
      <c r="C571" s="5"/>
      <c r="D571" s="5"/>
      <c r="E571" s="4" t="str">
        <f t="shared" si="8"/>
        <v/>
      </c>
      <c r="O571" s="12"/>
    </row>
    <row r="572" spans="2:15" x14ac:dyDescent="0.25">
      <c r="B572" t="str">
        <f>IF(A572="","",_xlfn.XLOOKUP(A572,MAQUINAS!$A$3:$A$55,MAQUINAS!$B$3:$B$55,"No encontrada"))</f>
        <v/>
      </c>
      <c r="C572" s="5"/>
      <c r="D572" s="5"/>
      <c r="E572" s="4" t="str">
        <f t="shared" si="8"/>
        <v/>
      </c>
      <c r="O572" s="12"/>
    </row>
    <row r="573" spans="2:15" x14ac:dyDescent="0.25">
      <c r="B573" t="str">
        <f>IF(A573="","",_xlfn.XLOOKUP(A573,MAQUINAS!$A$3:$A$55,MAQUINAS!$B$3:$B$55,"No encontrada"))</f>
        <v/>
      </c>
      <c r="C573" s="5"/>
      <c r="D573" s="5"/>
      <c r="E573" s="4" t="str">
        <f t="shared" si="8"/>
        <v/>
      </c>
      <c r="O573" s="12"/>
    </row>
    <row r="574" spans="2:15" x14ac:dyDescent="0.25">
      <c r="B574" t="str">
        <f>IF(A574="","",_xlfn.XLOOKUP(A574,MAQUINAS!$A$3:$A$55,MAQUINAS!$B$3:$B$55,"No encontrada"))</f>
        <v/>
      </c>
      <c r="C574" s="5"/>
      <c r="D574" s="5"/>
      <c r="E574" s="4" t="str">
        <f t="shared" si="8"/>
        <v/>
      </c>
      <c r="O574" s="12"/>
    </row>
    <row r="575" spans="2:15" x14ac:dyDescent="0.25">
      <c r="B575" t="str">
        <f>IF(A575="","",_xlfn.XLOOKUP(A575,MAQUINAS!$A$3:$A$55,MAQUINAS!$B$3:$B$55,"No encontrada"))</f>
        <v/>
      </c>
      <c r="C575" s="5"/>
      <c r="D575" s="5"/>
      <c r="E575" s="4" t="str">
        <f t="shared" si="8"/>
        <v/>
      </c>
      <c r="O575" s="12"/>
    </row>
    <row r="576" spans="2:15" x14ac:dyDescent="0.25">
      <c r="B576" t="str">
        <f>IF(A576="","",_xlfn.XLOOKUP(A576,MAQUINAS!$A$3:$A$55,MAQUINAS!$B$3:$B$55,"No encontrada"))</f>
        <v/>
      </c>
      <c r="C576" s="5"/>
      <c r="D576" s="5"/>
      <c r="E576" s="4" t="str">
        <f t="shared" si="8"/>
        <v/>
      </c>
      <c r="O576" s="12"/>
    </row>
    <row r="577" spans="2:15" x14ac:dyDescent="0.25">
      <c r="B577" t="str">
        <f>IF(A577="","",_xlfn.XLOOKUP(A577,MAQUINAS!$A$3:$A$55,MAQUINAS!$B$3:$B$55,"No encontrada"))</f>
        <v/>
      </c>
      <c r="C577" s="5"/>
      <c r="D577" s="5"/>
      <c r="E577" s="4" t="str">
        <f t="shared" si="8"/>
        <v/>
      </c>
      <c r="O577" s="12"/>
    </row>
    <row r="578" spans="2:15" x14ac:dyDescent="0.25">
      <c r="B578" t="str">
        <f>IF(A578="","",_xlfn.XLOOKUP(A578,MAQUINAS!$A$3:$A$55,MAQUINAS!$B$3:$B$55,"No encontrada"))</f>
        <v/>
      </c>
      <c r="C578" s="5"/>
      <c r="D578" s="5"/>
      <c r="E578" s="4" t="str">
        <f t="shared" si="8"/>
        <v/>
      </c>
      <c r="O578" s="12"/>
    </row>
    <row r="579" spans="2:15" x14ac:dyDescent="0.25">
      <c r="B579" t="str">
        <f>IF(A579="","",_xlfn.XLOOKUP(A579,MAQUINAS!$A$3:$A$55,MAQUINAS!$B$3:$B$55,"No encontrada"))</f>
        <v/>
      </c>
      <c r="C579" s="5"/>
      <c r="D579" s="5"/>
      <c r="E579" s="4" t="str">
        <f t="shared" ref="E579:E642" si="9">IF(OR(C579="",D579=""),"",MOD(D579-C579,1))</f>
        <v/>
      </c>
      <c r="O579" s="12"/>
    </row>
    <row r="580" spans="2:15" x14ac:dyDescent="0.25">
      <c r="B580" t="str">
        <f>IF(A580="","",_xlfn.XLOOKUP(A580,MAQUINAS!$A$3:$A$55,MAQUINAS!$B$3:$B$55,"No encontrada"))</f>
        <v/>
      </c>
      <c r="C580" s="5"/>
      <c r="D580" s="5"/>
      <c r="E580" s="4" t="str">
        <f t="shared" si="9"/>
        <v/>
      </c>
      <c r="O580" s="12"/>
    </row>
    <row r="581" spans="2:15" x14ac:dyDescent="0.25">
      <c r="B581" t="str">
        <f>IF(A581="","",_xlfn.XLOOKUP(A581,MAQUINAS!$A$3:$A$55,MAQUINAS!$B$3:$B$55,"No encontrada"))</f>
        <v/>
      </c>
      <c r="C581" s="5"/>
      <c r="D581" s="5"/>
      <c r="E581" s="4" t="str">
        <f t="shared" si="9"/>
        <v/>
      </c>
      <c r="O581" s="12"/>
    </row>
    <row r="582" spans="2:15" x14ac:dyDescent="0.25">
      <c r="B582" t="str">
        <f>IF(A582="","",_xlfn.XLOOKUP(A582,MAQUINAS!$A$3:$A$55,MAQUINAS!$B$3:$B$55,"No encontrada"))</f>
        <v/>
      </c>
      <c r="C582" s="5"/>
      <c r="D582" s="5"/>
      <c r="E582" s="4" t="str">
        <f t="shared" si="9"/>
        <v/>
      </c>
      <c r="O582" s="12"/>
    </row>
    <row r="583" spans="2:15" x14ac:dyDescent="0.25">
      <c r="B583" t="str">
        <f>IF(A583="","",_xlfn.XLOOKUP(A583,MAQUINAS!$A$3:$A$55,MAQUINAS!$B$3:$B$55,"No encontrada"))</f>
        <v/>
      </c>
      <c r="C583" s="5"/>
      <c r="D583" s="5"/>
      <c r="E583" s="4" t="str">
        <f t="shared" si="9"/>
        <v/>
      </c>
      <c r="O583" s="12"/>
    </row>
    <row r="584" spans="2:15" x14ac:dyDescent="0.25">
      <c r="B584" t="str">
        <f>IF(A584="","",_xlfn.XLOOKUP(A584,MAQUINAS!$A$3:$A$55,MAQUINAS!$B$3:$B$55,"No encontrada"))</f>
        <v/>
      </c>
      <c r="C584" s="5"/>
      <c r="D584" s="5"/>
      <c r="E584" s="4" t="str">
        <f t="shared" si="9"/>
        <v/>
      </c>
      <c r="O584" s="12"/>
    </row>
    <row r="585" spans="2:15" x14ac:dyDescent="0.25">
      <c r="B585" t="str">
        <f>IF(A585="","",_xlfn.XLOOKUP(A585,MAQUINAS!$A$3:$A$55,MAQUINAS!$B$3:$B$55,"No encontrada"))</f>
        <v/>
      </c>
      <c r="C585" s="5"/>
      <c r="D585" s="5"/>
      <c r="E585" s="4" t="str">
        <f t="shared" si="9"/>
        <v/>
      </c>
      <c r="O585" s="12"/>
    </row>
    <row r="586" spans="2:15" x14ac:dyDescent="0.25">
      <c r="B586" t="str">
        <f>IF(A586="","",_xlfn.XLOOKUP(A586,MAQUINAS!$A$3:$A$55,MAQUINAS!$B$3:$B$55,"No encontrada"))</f>
        <v/>
      </c>
      <c r="C586" s="5"/>
      <c r="D586" s="5"/>
      <c r="E586" s="4" t="str">
        <f t="shared" si="9"/>
        <v/>
      </c>
      <c r="O586" s="12"/>
    </row>
    <row r="587" spans="2:15" x14ac:dyDescent="0.25">
      <c r="B587" t="str">
        <f>IF(A587="","",_xlfn.XLOOKUP(A587,MAQUINAS!$A$3:$A$55,MAQUINAS!$B$3:$B$55,"No encontrada"))</f>
        <v/>
      </c>
      <c r="C587" s="5"/>
      <c r="D587" s="5"/>
      <c r="E587" s="4" t="str">
        <f t="shared" si="9"/>
        <v/>
      </c>
      <c r="O587" s="12"/>
    </row>
    <row r="588" spans="2:15" x14ac:dyDescent="0.25">
      <c r="B588" t="str">
        <f>IF(A588="","",_xlfn.XLOOKUP(A588,MAQUINAS!$A$3:$A$55,MAQUINAS!$B$3:$B$55,"No encontrada"))</f>
        <v/>
      </c>
      <c r="C588" s="5"/>
      <c r="D588" s="5"/>
      <c r="E588" s="4" t="str">
        <f t="shared" si="9"/>
        <v/>
      </c>
      <c r="O588" s="12"/>
    </row>
    <row r="589" spans="2:15" x14ac:dyDescent="0.25">
      <c r="B589" t="str">
        <f>IF(A589="","",_xlfn.XLOOKUP(A589,MAQUINAS!$A$3:$A$55,MAQUINAS!$B$3:$B$55,"No encontrada"))</f>
        <v/>
      </c>
      <c r="C589" s="5"/>
      <c r="D589" s="5"/>
      <c r="E589" s="4" t="str">
        <f t="shared" si="9"/>
        <v/>
      </c>
      <c r="O589" s="12"/>
    </row>
    <row r="590" spans="2:15" x14ac:dyDescent="0.25">
      <c r="B590" t="str">
        <f>IF(A590="","",_xlfn.XLOOKUP(A590,MAQUINAS!$A$3:$A$55,MAQUINAS!$B$3:$B$55,"No encontrada"))</f>
        <v/>
      </c>
      <c r="C590" s="5"/>
      <c r="D590" s="5"/>
      <c r="E590" s="4" t="str">
        <f t="shared" si="9"/>
        <v/>
      </c>
      <c r="O590" s="12"/>
    </row>
    <row r="591" spans="2:15" x14ac:dyDescent="0.25">
      <c r="B591" t="str">
        <f>IF(A591="","",_xlfn.XLOOKUP(A591,MAQUINAS!$A$3:$A$55,MAQUINAS!$B$3:$B$55,"No encontrada"))</f>
        <v/>
      </c>
      <c r="C591" s="5"/>
      <c r="D591" s="5"/>
      <c r="E591" s="4" t="str">
        <f t="shared" si="9"/>
        <v/>
      </c>
      <c r="O591" s="12"/>
    </row>
    <row r="592" spans="2:15" x14ac:dyDescent="0.25">
      <c r="B592" t="str">
        <f>IF(A592="","",_xlfn.XLOOKUP(A592,MAQUINAS!$A$3:$A$55,MAQUINAS!$B$3:$B$55,"No encontrada"))</f>
        <v/>
      </c>
      <c r="C592" s="5"/>
      <c r="D592" s="5"/>
      <c r="E592" s="4" t="str">
        <f t="shared" si="9"/>
        <v/>
      </c>
      <c r="O592" s="12"/>
    </row>
    <row r="593" spans="2:15" x14ac:dyDescent="0.25">
      <c r="B593" t="str">
        <f>IF(A593="","",_xlfn.XLOOKUP(A593,MAQUINAS!$A$3:$A$55,MAQUINAS!$B$3:$B$55,"No encontrada"))</f>
        <v/>
      </c>
      <c r="C593" s="5"/>
      <c r="D593" s="5"/>
      <c r="E593" s="4" t="str">
        <f t="shared" si="9"/>
        <v/>
      </c>
      <c r="O593" s="12"/>
    </row>
    <row r="594" spans="2:15" x14ac:dyDescent="0.25">
      <c r="B594" t="str">
        <f>IF(A594="","",_xlfn.XLOOKUP(A594,MAQUINAS!$A$3:$A$55,MAQUINAS!$B$3:$B$55,"No encontrada"))</f>
        <v/>
      </c>
      <c r="C594" s="5"/>
      <c r="D594" s="5"/>
      <c r="E594" s="4" t="str">
        <f t="shared" si="9"/>
        <v/>
      </c>
      <c r="O594" s="12"/>
    </row>
    <row r="595" spans="2:15" x14ac:dyDescent="0.25">
      <c r="B595" t="str">
        <f>IF(A595="","",_xlfn.XLOOKUP(A595,MAQUINAS!$A$3:$A$55,MAQUINAS!$B$3:$B$55,"No encontrada"))</f>
        <v/>
      </c>
      <c r="C595" s="5"/>
      <c r="D595" s="5"/>
      <c r="E595" s="4" t="str">
        <f t="shared" si="9"/>
        <v/>
      </c>
      <c r="O595" s="12"/>
    </row>
    <row r="596" spans="2:15" x14ac:dyDescent="0.25">
      <c r="B596" t="str">
        <f>IF(A596="","",_xlfn.XLOOKUP(A596,MAQUINAS!$A$3:$A$55,MAQUINAS!$B$3:$B$55,"No encontrada"))</f>
        <v/>
      </c>
      <c r="C596" s="5"/>
      <c r="D596" s="5"/>
      <c r="E596" s="4" t="str">
        <f t="shared" si="9"/>
        <v/>
      </c>
      <c r="O596" s="12"/>
    </row>
    <row r="597" spans="2:15" x14ac:dyDescent="0.25">
      <c r="B597" t="str">
        <f>IF(A597="","",_xlfn.XLOOKUP(A597,MAQUINAS!$A$3:$A$55,MAQUINAS!$B$3:$B$55,"No encontrada"))</f>
        <v/>
      </c>
      <c r="C597" s="5"/>
      <c r="D597" s="5"/>
      <c r="E597" s="4" t="str">
        <f t="shared" si="9"/>
        <v/>
      </c>
      <c r="O597" s="12"/>
    </row>
    <row r="598" spans="2:15" x14ac:dyDescent="0.25">
      <c r="B598" t="str">
        <f>IF(A598="","",_xlfn.XLOOKUP(A598,MAQUINAS!$A$3:$A$55,MAQUINAS!$B$3:$B$55,"No encontrada"))</f>
        <v/>
      </c>
      <c r="C598" s="5"/>
      <c r="D598" s="5"/>
      <c r="E598" s="4" t="str">
        <f t="shared" si="9"/>
        <v/>
      </c>
      <c r="O598" s="12"/>
    </row>
    <row r="599" spans="2:15" x14ac:dyDescent="0.25">
      <c r="B599" t="str">
        <f>IF(A599="","",_xlfn.XLOOKUP(A599,MAQUINAS!$A$3:$A$55,MAQUINAS!$B$3:$B$55,"No encontrada"))</f>
        <v/>
      </c>
      <c r="C599" s="5"/>
      <c r="D599" s="5"/>
      <c r="E599" s="4" t="str">
        <f t="shared" si="9"/>
        <v/>
      </c>
      <c r="O599" s="12"/>
    </row>
    <row r="600" spans="2:15" x14ac:dyDescent="0.25">
      <c r="B600" t="str">
        <f>IF(A600="","",_xlfn.XLOOKUP(A600,MAQUINAS!$A$3:$A$55,MAQUINAS!$B$3:$B$55,"No encontrada"))</f>
        <v/>
      </c>
      <c r="C600" s="5"/>
      <c r="D600" s="5"/>
      <c r="E600" s="4" t="str">
        <f t="shared" si="9"/>
        <v/>
      </c>
      <c r="O600" s="12"/>
    </row>
    <row r="601" spans="2:15" x14ac:dyDescent="0.25">
      <c r="B601" t="str">
        <f>IF(A601="","",_xlfn.XLOOKUP(A601,MAQUINAS!$A$3:$A$55,MAQUINAS!$B$3:$B$55,"No encontrada"))</f>
        <v/>
      </c>
      <c r="C601" s="5"/>
      <c r="D601" s="5"/>
      <c r="E601" s="4" t="str">
        <f t="shared" si="9"/>
        <v/>
      </c>
      <c r="O601" s="12"/>
    </row>
    <row r="602" spans="2:15" x14ac:dyDescent="0.25">
      <c r="B602" t="str">
        <f>IF(A602="","",_xlfn.XLOOKUP(A602,MAQUINAS!$A$3:$A$55,MAQUINAS!$B$3:$B$55,"No encontrada"))</f>
        <v/>
      </c>
      <c r="C602" s="5"/>
      <c r="D602" s="5"/>
      <c r="E602" s="4" t="str">
        <f t="shared" si="9"/>
        <v/>
      </c>
      <c r="O602" s="12"/>
    </row>
    <row r="603" spans="2:15" x14ac:dyDescent="0.25">
      <c r="B603" t="str">
        <f>IF(A603="","",_xlfn.XLOOKUP(A603,MAQUINAS!$A$3:$A$55,MAQUINAS!$B$3:$B$55,"No encontrada"))</f>
        <v/>
      </c>
      <c r="C603" s="5"/>
      <c r="D603" s="5"/>
      <c r="E603" s="4" t="str">
        <f t="shared" si="9"/>
        <v/>
      </c>
      <c r="O603" s="12"/>
    </row>
    <row r="604" spans="2:15" x14ac:dyDescent="0.25">
      <c r="B604" t="str">
        <f>IF(A604="","",_xlfn.XLOOKUP(A604,MAQUINAS!$A$3:$A$55,MAQUINAS!$B$3:$B$55,"No encontrada"))</f>
        <v/>
      </c>
      <c r="C604" s="5"/>
      <c r="D604" s="5"/>
      <c r="E604" s="4" t="str">
        <f t="shared" si="9"/>
        <v/>
      </c>
      <c r="O604" s="12"/>
    </row>
    <row r="605" spans="2:15" x14ac:dyDescent="0.25">
      <c r="B605" t="str">
        <f>IF(A605="","",_xlfn.XLOOKUP(A605,MAQUINAS!$A$3:$A$55,MAQUINAS!$B$3:$B$55,"No encontrada"))</f>
        <v/>
      </c>
      <c r="C605" s="5"/>
      <c r="D605" s="5"/>
      <c r="E605" s="4" t="str">
        <f t="shared" si="9"/>
        <v/>
      </c>
      <c r="O605" s="12"/>
    </row>
    <row r="606" spans="2:15" x14ac:dyDescent="0.25">
      <c r="B606" t="str">
        <f>IF(A606="","",_xlfn.XLOOKUP(A606,MAQUINAS!$A$3:$A$55,MAQUINAS!$B$3:$B$55,"No encontrada"))</f>
        <v/>
      </c>
      <c r="C606" s="5"/>
      <c r="D606" s="5"/>
      <c r="E606" s="4" t="str">
        <f t="shared" si="9"/>
        <v/>
      </c>
      <c r="O606" s="12"/>
    </row>
    <row r="607" spans="2:15" x14ac:dyDescent="0.25">
      <c r="B607" t="str">
        <f>IF(A607="","",_xlfn.XLOOKUP(A607,MAQUINAS!$A$3:$A$55,MAQUINAS!$B$3:$B$55,"No encontrada"))</f>
        <v/>
      </c>
      <c r="C607" s="5"/>
      <c r="D607" s="5"/>
      <c r="E607" s="4" t="str">
        <f t="shared" si="9"/>
        <v/>
      </c>
      <c r="O607" s="12"/>
    </row>
    <row r="608" spans="2:15" x14ac:dyDescent="0.25">
      <c r="B608" t="str">
        <f>IF(A608="","",_xlfn.XLOOKUP(A608,MAQUINAS!$A$3:$A$55,MAQUINAS!$B$3:$B$55,"No encontrada"))</f>
        <v/>
      </c>
      <c r="C608" s="5"/>
      <c r="D608" s="5"/>
      <c r="E608" s="4" t="str">
        <f t="shared" si="9"/>
        <v/>
      </c>
      <c r="O608" s="12"/>
    </row>
    <row r="609" spans="2:15" x14ac:dyDescent="0.25">
      <c r="B609" t="str">
        <f>IF(A609="","",_xlfn.XLOOKUP(A609,MAQUINAS!$A$3:$A$55,MAQUINAS!$B$3:$B$55,"No encontrada"))</f>
        <v/>
      </c>
      <c r="C609" s="5"/>
      <c r="D609" s="5"/>
      <c r="E609" s="4" t="str">
        <f t="shared" si="9"/>
        <v/>
      </c>
      <c r="O609" s="12"/>
    </row>
    <row r="610" spans="2:15" x14ac:dyDescent="0.25">
      <c r="B610" t="str">
        <f>IF(A610="","",_xlfn.XLOOKUP(A610,MAQUINAS!$A$3:$A$55,MAQUINAS!$B$3:$B$55,"No encontrada"))</f>
        <v/>
      </c>
      <c r="C610" s="5"/>
      <c r="D610" s="5"/>
      <c r="E610" s="4" t="str">
        <f t="shared" si="9"/>
        <v/>
      </c>
      <c r="O610" s="12"/>
    </row>
    <row r="611" spans="2:15" x14ac:dyDescent="0.25">
      <c r="B611" t="str">
        <f>IF(A611="","",_xlfn.XLOOKUP(A611,MAQUINAS!$A$3:$A$55,MAQUINAS!$B$3:$B$55,"No encontrada"))</f>
        <v/>
      </c>
      <c r="C611" s="5"/>
      <c r="D611" s="5"/>
      <c r="E611" s="4" t="str">
        <f t="shared" si="9"/>
        <v/>
      </c>
      <c r="O611" s="12"/>
    </row>
    <row r="612" spans="2:15" x14ac:dyDescent="0.25">
      <c r="B612" t="str">
        <f>IF(A612="","",_xlfn.XLOOKUP(A612,MAQUINAS!$A$3:$A$55,MAQUINAS!$B$3:$B$55,"No encontrada"))</f>
        <v/>
      </c>
      <c r="C612" s="5"/>
      <c r="D612" s="5"/>
      <c r="E612" s="4" t="str">
        <f t="shared" si="9"/>
        <v/>
      </c>
      <c r="O612" s="12"/>
    </row>
    <row r="613" spans="2:15" x14ac:dyDescent="0.25">
      <c r="B613" t="str">
        <f>IF(A613="","",_xlfn.XLOOKUP(A613,MAQUINAS!$A$3:$A$55,MAQUINAS!$B$3:$B$55,"No encontrada"))</f>
        <v/>
      </c>
      <c r="C613" s="5"/>
      <c r="D613" s="5"/>
      <c r="E613" s="4" t="str">
        <f t="shared" si="9"/>
        <v/>
      </c>
      <c r="O613" s="12"/>
    </row>
    <row r="614" spans="2:15" x14ac:dyDescent="0.25">
      <c r="B614" t="str">
        <f>IF(A614="","",_xlfn.XLOOKUP(A614,MAQUINAS!$A$3:$A$55,MAQUINAS!$B$3:$B$55,"No encontrada"))</f>
        <v/>
      </c>
      <c r="C614" s="5"/>
      <c r="D614" s="5"/>
      <c r="E614" s="4" t="str">
        <f t="shared" si="9"/>
        <v/>
      </c>
      <c r="O614" s="12"/>
    </row>
    <row r="615" spans="2:15" x14ac:dyDescent="0.25">
      <c r="B615" t="str">
        <f>IF(A615="","",_xlfn.XLOOKUP(A615,MAQUINAS!$A$3:$A$55,MAQUINAS!$B$3:$B$55,"No encontrada"))</f>
        <v/>
      </c>
      <c r="C615" s="5"/>
      <c r="D615" s="5"/>
      <c r="E615" s="4" t="str">
        <f t="shared" si="9"/>
        <v/>
      </c>
      <c r="O615" s="12"/>
    </row>
    <row r="616" spans="2:15" x14ac:dyDescent="0.25">
      <c r="B616" t="str">
        <f>IF(A616="","",_xlfn.XLOOKUP(A616,MAQUINAS!$A$3:$A$55,MAQUINAS!$B$3:$B$55,"No encontrada"))</f>
        <v/>
      </c>
      <c r="C616" s="5"/>
      <c r="D616" s="5"/>
      <c r="E616" s="4" t="str">
        <f t="shared" si="9"/>
        <v/>
      </c>
      <c r="O616" s="12"/>
    </row>
    <row r="617" spans="2:15" x14ac:dyDescent="0.25">
      <c r="B617" t="str">
        <f>IF(A617="","",_xlfn.XLOOKUP(A617,MAQUINAS!$A$3:$A$55,MAQUINAS!$B$3:$B$55,"No encontrada"))</f>
        <v/>
      </c>
      <c r="C617" s="5"/>
      <c r="D617" s="5"/>
      <c r="E617" s="4" t="str">
        <f t="shared" si="9"/>
        <v/>
      </c>
      <c r="O617" s="12"/>
    </row>
    <row r="618" spans="2:15" x14ac:dyDescent="0.25">
      <c r="B618" t="str">
        <f>IF(A618="","",_xlfn.XLOOKUP(A618,MAQUINAS!$A$3:$A$55,MAQUINAS!$B$3:$B$55,"No encontrada"))</f>
        <v/>
      </c>
      <c r="C618" s="5"/>
      <c r="D618" s="5"/>
      <c r="E618" s="4" t="str">
        <f t="shared" si="9"/>
        <v/>
      </c>
      <c r="O618" s="12"/>
    </row>
    <row r="619" spans="2:15" x14ac:dyDescent="0.25">
      <c r="B619" t="str">
        <f>IF(A619="","",_xlfn.XLOOKUP(A619,MAQUINAS!$A$3:$A$55,MAQUINAS!$B$3:$B$55,"No encontrada"))</f>
        <v/>
      </c>
      <c r="C619" s="5"/>
      <c r="D619" s="5"/>
      <c r="E619" s="4" t="str">
        <f t="shared" si="9"/>
        <v/>
      </c>
      <c r="O619" s="12"/>
    </row>
    <row r="620" spans="2:15" x14ac:dyDescent="0.25">
      <c r="B620" t="str">
        <f>IF(A620="","",_xlfn.XLOOKUP(A620,MAQUINAS!$A$3:$A$55,MAQUINAS!$B$3:$B$55,"No encontrada"))</f>
        <v/>
      </c>
      <c r="C620" s="5"/>
      <c r="D620" s="5"/>
      <c r="E620" s="4" t="str">
        <f t="shared" si="9"/>
        <v/>
      </c>
      <c r="O620" s="12"/>
    </row>
    <row r="621" spans="2:15" x14ac:dyDescent="0.25">
      <c r="B621" t="str">
        <f>IF(A621="","",_xlfn.XLOOKUP(A621,MAQUINAS!$A$3:$A$55,MAQUINAS!$B$3:$B$55,"No encontrada"))</f>
        <v/>
      </c>
      <c r="C621" s="5"/>
      <c r="D621" s="5"/>
      <c r="E621" s="4" t="str">
        <f t="shared" si="9"/>
        <v/>
      </c>
      <c r="O621" s="12"/>
    </row>
    <row r="622" spans="2:15" x14ac:dyDescent="0.25">
      <c r="B622" t="str">
        <f>IF(A622="","",_xlfn.XLOOKUP(A622,MAQUINAS!$A$3:$A$55,MAQUINAS!$B$3:$B$55,"No encontrada"))</f>
        <v/>
      </c>
      <c r="C622" s="5"/>
      <c r="D622" s="5"/>
      <c r="E622" s="4" t="str">
        <f t="shared" si="9"/>
        <v/>
      </c>
      <c r="O622" s="12"/>
    </row>
    <row r="623" spans="2:15" x14ac:dyDescent="0.25">
      <c r="B623" t="str">
        <f>IF(A623="","",_xlfn.XLOOKUP(A623,MAQUINAS!$A$3:$A$55,MAQUINAS!$B$3:$B$55,"No encontrada"))</f>
        <v/>
      </c>
      <c r="C623" s="5"/>
      <c r="D623" s="5"/>
      <c r="E623" s="4" t="str">
        <f t="shared" si="9"/>
        <v/>
      </c>
      <c r="O623" s="12"/>
    </row>
    <row r="624" spans="2:15" x14ac:dyDescent="0.25">
      <c r="B624" t="str">
        <f>IF(A624="","",_xlfn.XLOOKUP(A624,MAQUINAS!$A$3:$A$55,MAQUINAS!$B$3:$B$55,"No encontrada"))</f>
        <v/>
      </c>
      <c r="C624" s="5"/>
      <c r="D624" s="5"/>
      <c r="E624" s="4" t="str">
        <f t="shared" si="9"/>
        <v/>
      </c>
      <c r="O624" s="12"/>
    </row>
    <row r="625" spans="2:15" x14ac:dyDescent="0.25">
      <c r="B625" t="str">
        <f>IF(A625="","",_xlfn.XLOOKUP(A625,MAQUINAS!$A$3:$A$55,MAQUINAS!$B$3:$B$55,"No encontrada"))</f>
        <v/>
      </c>
      <c r="C625" s="5"/>
      <c r="D625" s="5"/>
      <c r="E625" s="4" t="str">
        <f t="shared" si="9"/>
        <v/>
      </c>
      <c r="O625" s="12"/>
    </row>
    <row r="626" spans="2:15" x14ac:dyDescent="0.25">
      <c r="B626" t="str">
        <f>IF(A626="","",_xlfn.XLOOKUP(A626,MAQUINAS!$A$3:$A$55,MAQUINAS!$B$3:$B$55,"No encontrada"))</f>
        <v/>
      </c>
      <c r="C626" s="5"/>
      <c r="D626" s="5"/>
      <c r="E626" s="4" t="str">
        <f t="shared" si="9"/>
        <v/>
      </c>
      <c r="O626" s="12"/>
    </row>
    <row r="627" spans="2:15" x14ac:dyDescent="0.25">
      <c r="B627" t="str">
        <f>IF(A627="","",_xlfn.XLOOKUP(A627,MAQUINAS!$A$3:$A$55,MAQUINAS!$B$3:$B$55,"No encontrada"))</f>
        <v/>
      </c>
      <c r="C627" s="5"/>
      <c r="D627" s="5"/>
      <c r="E627" s="4" t="str">
        <f t="shared" si="9"/>
        <v/>
      </c>
      <c r="O627" s="12"/>
    </row>
    <row r="628" spans="2:15" x14ac:dyDescent="0.25">
      <c r="B628" t="str">
        <f>IF(A628="","",_xlfn.XLOOKUP(A628,MAQUINAS!$A$3:$A$55,MAQUINAS!$B$3:$B$55,"No encontrada"))</f>
        <v/>
      </c>
      <c r="C628" s="5"/>
      <c r="D628" s="5"/>
      <c r="E628" s="4" t="str">
        <f t="shared" si="9"/>
        <v/>
      </c>
      <c r="O628" s="12"/>
    </row>
    <row r="629" spans="2:15" x14ac:dyDescent="0.25">
      <c r="B629" t="str">
        <f>IF(A629="","",_xlfn.XLOOKUP(A629,MAQUINAS!$A$3:$A$55,MAQUINAS!$B$3:$B$55,"No encontrada"))</f>
        <v/>
      </c>
      <c r="C629" s="5"/>
      <c r="D629" s="5"/>
      <c r="E629" s="4" t="str">
        <f t="shared" si="9"/>
        <v/>
      </c>
      <c r="O629" s="12"/>
    </row>
    <row r="630" spans="2:15" x14ac:dyDescent="0.25">
      <c r="B630" t="str">
        <f>IF(A630="","",_xlfn.XLOOKUP(A630,MAQUINAS!$A$3:$A$55,MAQUINAS!$B$3:$B$55,"No encontrada"))</f>
        <v/>
      </c>
      <c r="C630" s="5"/>
      <c r="D630" s="5"/>
      <c r="E630" s="4" t="str">
        <f t="shared" si="9"/>
        <v/>
      </c>
      <c r="O630" s="12"/>
    </row>
    <row r="631" spans="2:15" x14ac:dyDescent="0.25">
      <c r="B631" t="str">
        <f>IF(A631="","",_xlfn.XLOOKUP(A631,MAQUINAS!$A$3:$A$55,MAQUINAS!$B$3:$B$55,"No encontrada"))</f>
        <v/>
      </c>
      <c r="C631" s="5"/>
      <c r="D631" s="5"/>
      <c r="E631" s="4" t="str">
        <f t="shared" si="9"/>
        <v/>
      </c>
      <c r="O631" s="12"/>
    </row>
    <row r="632" spans="2:15" x14ac:dyDescent="0.25">
      <c r="B632" t="str">
        <f>IF(A632="","",_xlfn.XLOOKUP(A632,MAQUINAS!$A$3:$A$55,MAQUINAS!$B$3:$B$55,"No encontrada"))</f>
        <v/>
      </c>
      <c r="C632" s="5"/>
      <c r="D632" s="5"/>
      <c r="E632" s="4" t="str">
        <f t="shared" si="9"/>
        <v/>
      </c>
      <c r="O632" s="12"/>
    </row>
    <row r="633" spans="2:15" x14ac:dyDescent="0.25">
      <c r="B633" t="str">
        <f>IF(A633="","",_xlfn.XLOOKUP(A633,MAQUINAS!$A$3:$A$55,MAQUINAS!$B$3:$B$55,"No encontrada"))</f>
        <v/>
      </c>
      <c r="C633" s="5"/>
      <c r="D633" s="5"/>
      <c r="E633" s="4" t="str">
        <f t="shared" si="9"/>
        <v/>
      </c>
      <c r="O633" s="12"/>
    </row>
    <row r="634" spans="2:15" x14ac:dyDescent="0.25">
      <c r="B634" t="str">
        <f>IF(A634="","",_xlfn.XLOOKUP(A634,MAQUINAS!$A$3:$A$55,MAQUINAS!$B$3:$B$55,"No encontrada"))</f>
        <v/>
      </c>
      <c r="C634" s="5"/>
      <c r="D634" s="5"/>
      <c r="E634" s="4" t="str">
        <f t="shared" si="9"/>
        <v/>
      </c>
      <c r="O634" s="12"/>
    </row>
    <row r="635" spans="2:15" x14ac:dyDescent="0.25">
      <c r="B635" t="str">
        <f>IF(A635="","",_xlfn.XLOOKUP(A635,MAQUINAS!$A$3:$A$55,MAQUINAS!$B$3:$B$55,"No encontrada"))</f>
        <v/>
      </c>
      <c r="C635" s="5"/>
      <c r="D635" s="5"/>
      <c r="E635" s="4" t="str">
        <f t="shared" si="9"/>
        <v/>
      </c>
      <c r="O635" s="12"/>
    </row>
    <row r="636" spans="2:15" x14ac:dyDescent="0.25">
      <c r="B636" t="str">
        <f>IF(A636="","",_xlfn.XLOOKUP(A636,MAQUINAS!$A$3:$A$55,MAQUINAS!$B$3:$B$55,"No encontrada"))</f>
        <v/>
      </c>
      <c r="C636" s="5"/>
      <c r="D636" s="5"/>
      <c r="E636" s="4" t="str">
        <f t="shared" si="9"/>
        <v/>
      </c>
      <c r="O636" s="12"/>
    </row>
    <row r="637" spans="2:15" x14ac:dyDescent="0.25">
      <c r="B637" t="str">
        <f>IF(A637="","",_xlfn.XLOOKUP(A637,MAQUINAS!$A$3:$A$55,MAQUINAS!$B$3:$B$55,"No encontrada"))</f>
        <v/>
      </c>
      <c r="C637" s="5"/>
      <c r="D637" s="5"/>
      <c r="E637" s="4" t="str">
        <f t="shared" si="9"/>
        <v/>
      </c>
      <c r="O637" s="12"/>
    </row>
    <row r="638" spans="2:15" x14ac:dyDescent="0.25">
      <c r="B638" t="str">
        <f>IF(A638="","",_xlfn.XLOOKUP(A638,MAQUINAS!$A$3:$A$55,MAQUINAS!$B$3:$B$55,"No encontrada"))</f>
        <v/>
      </c>
      <c r="C638" s="5"/>
      <c r="D638" s="5"/>
      <c r="E638" s="4" t="str">
        <f t="shared" si="9"/>
        <v/>
      </c>
      <c r="O638" s="12"/>
    </row>
    <row r="639" spans="2:15" x14ac:dyDescent="0.25">
      <c r="B639" t="str">
        <f>IF(A639="","",_xlfn.XLOOKUP(A639,MAQUINAS!$A$3:$A$55,MAQUINAS!$B$3:$B$55,"No encontrada"))</f>
        <v/>
      </c>
      <c r="C639" s="5"/>
      <c r="D639" s="5"/>
      <c r="E639" s="4" t="str">
        <f t="shared" si="9"/>
        <v/>
      </c>
      <c r="O639" s="12"/>
    </row>
    <row r="640" spans="2:15" x14ac:dyDescent="0.25">
      <c r="B640" t="str">
        <f>IF(A640="","",_xlfn.XLOOKUP(A640,MAQUINAS!$A$3:$A$55,MAQUINAS!$B$3:$B$55,"No encontrada"))</f>
        <v/>
      </c>
      <c r="C640" s="5"/>
      <c r="D640" s="5"/>
      <c r="E640" s="4" t="str">
        <f t="shared" si="9"/>
        <v/>
      </c>
      <c r="O640" s="12"/>
    </row>
    <row r="641" spans="2:15" x14ac:dyDescent="0.25">
      <c r="B641" t="str">
        <f>IF(A641="","",_xlfn.XLOOKUP(A641,MAQUINAS!$A$3:$A$55,MAQUINAS!$B$3:$B$55,"No encontrada"))</f>
        <v/>
      </c>
      <c r="C641" s="5"/>
      <c r="D641" s="5"/>
      <c r="E641" s="4" t="str">
        <f t="shared" si="9"/>
        <v/>
      </c>
      <c r="O641" s="12"/>
    </row>
    <row r="642" spans="2:15" x14ac:dyDescent="0.25">
      <c r="B642" t="str">
        <f>IF(A642="","",_xlfn.XLOOKUP(A642,MAQUINAS!$A$3:$A$55,MAQUINAS!$B$3:$B$55,"No encontrada"))</f>
        <v/>
      </c>
      <c r="C642" s="5"/>
      <c r="D642" s="5"/>
      <c r="E642" s="4" t="str">
        <f t="shared" si="9"/>
        <v/>
      </c>
      <c r="O642" s="12"/>
    </row>
    <row r="643" spans="2:15" x14ac:dyDescent="0.25">
      <c r="B643" t="str">
        <f>IF(A643="","",_xlfn.XLOOKUP(A643,MAQUINAS!$A$3:$A$55,MAQUINAS!$B$3:$B$55,"No encontrada"))</f>
        <v/>
      </c>
      <c r="C643" s="5"/>
      <c r="D643" s="5"/>
      <c r="E643" s="4" t="str">
        <f t="shared" ref="E643:E706" si="10">IF(OR(C643="",D643=""),"",MOD(D643-C643,1))</f>
        <v/>
      </c>
      <c r="O643" s="12"/>
    </row>
    <row r="644" spans="2:15" x14ac:dyDescent="0.25">
      <c r="B644" t="str">
        <f>IF(A644="","",_xlfn.XLOOKUP(A644,MAQUINAS!$A$3:$A$55,MAQUINAS!$B$3:$B$55,"No encontrada"))</f>
        <v/>
      </c>
      <c r="C644" s="5"/>
      <c r="D644" s="5"/>
      <c r="E644" s="4" t="str">
        <f t="shared" si="10"/>
        <v/>
      </c>
      <c r="O644" s="12"/>
    </row>
    <row r="645" spans="2:15" x14ac:dyDescent="0.25">
      <c r="B645" t="str">
        <f>IF(A645="","",_xlfn.XLOOKUP(A645,MAQUINAS!$A$3:$A$55,MAQUINAS!$B$3:$B$55,"No encontrada"))</f>
        <v/>
      </c>
      <c r="C645" s="5"/>
      <c r="D645" s="5"/>
      <c r="E645" s="4" t="str">
        <f t="shared" si="10"/>
        <v/>
      </c>
      <c r="O645" s="12"/>
    </row>
    <row r="646" spans="2:15" x14ac:dyDescent="0.25">
      <c r="B646" t="str">
        <f>IF(A646="","",_xlfn.XLOOKUP(A646,MAQUINAS!$A$3:$A$55,MAQUINAS!$B$3:$B$55,"No encontrada"))</f>
        <v/>
      </c>
      <c r="C646" s="5"/>
      <c r="D646" s="5"/>
      <c r="E646" s="4" t="str">
        <f t="shared" si="10"/>
        <v/>
      </c>
      <c r="O646" s="12"/>
    </row>
    <row r="647" spans="2:15" x14ac:dyDescent="0.25">
      <c r="B647" t="str">
        <f>IF(A647="","",_xlfn.XLOOKUP(A647,MAQUINAS!$A$3:$A$55,MAQUINAS!$B$3:$B$55,"No encontrada"))</f>
        <v/>
      </c>
      <c r="C647" s="5"/>
      <c r="D647" s="5"/>
      <c r="E647" s="4" t="str">
        <f t="shared" si="10"/>
        <v/>
      </c>
      <c r="O647" s="12"/>
    </row>
    <row r="648" spans="2:15" x14ac:dyDescent="0.25">
      <c r="B648" t="str">
        <f>IF(A648="","",_xlfn.XLOOKUP(A648,MAQUINAS!$A$3:$A$55,MAQUINAS!$B$3:$B$55,"No encontrada"))</f>
        <v/>
      </c>
      <c r="C648" s="5"/>
      <c r="D648" s="5"/>
      <c r="E648" s="4" t="str">
        <f t="shared" si="10"/>
        <v/>
      </c>
      <c r="O648" s="12"/>
    </row>
    <row r="649" spans="2:15" x14ac:dyDescent="0.25">
      <c r="B649" t="str">
        <f>IF(A649="","",_xlfn.XLOOKUP(A649,MAQUINAS!$A$3:$A$55,MAQUINAS!$B$3:$B$55,"No encontrada"))</f>
        <v/>
      </c>
      <c r="C649" s="5"/>
      <c r="D649" s="5"/>
      <c r="E649" s="4" t="str">
        <f t="shared" si="10"/>
        <v/>
      </c>
      <c r="O649" s="12"/>
    </row>
    <row r="650" spans="2:15" x14ac:dyDescent="0.25">
      <c r="B650" t="str">
        <f>IF(A650="","",_xlfn.XLOOKUP(A650,MAQUINAS!$A$3:$A$55,MAQUINAS!$B$3:$B$55,"No encontrada"))</f>
        <v/>
      </c>
      <c r="C650" s="5"/>
      <c r="D650" s="5"/>
      <c r="E650" s="4" t="str">
        <f t="shared" si="10"/>
        <v/>
      </c>
      <c r="O650" s="12"/>
    </row>
    <row r="651" spans="2:15" x14ac:dyDescent="0.25">
      <c r="B651" t="str">
        <f>IF(A651="","",_xlfn.XLOOKUP(A651,MAQUINAS!$A$3:$A$55,MAQUINAS!$B$3:$B$55,"No encontrada"))</f>
        <v/>
      </c>
      <c r="C651" s="5"/>
      <c r="D651" s="5"/>
      <c r="E651" s="4" t="str">
        <f t="shared" si="10"/>
        <v/>
      </c>
      <c r="O651" s="12"/>
    </row>
    <row r="652" spans="2:15" x14ac:dyDescent="0.25">
      <c r="B652" t="str">
        <f>IF(A652="","",_xlfn.XLOOKUP(A652,MAQUINAS!$A$3:$A$55,MAQUINAS!$B$3:$B$55,"No encontrada"))</f>
        <v/>
      </c>
      <c r="C652" s="5"/>
      <c r="D652" s="5"/>
      <c r="E652" s="4" t="str">
        <f t="shared" si="10"/>
        <v/>
      </c>
      <c r="O652" s="12"/>
    </row>
    <row r="653" spans="2:15" x14ac:dyDescent="0.25">
      <c r="B653" t="str">
        <f>IF(A653="","",_xlfn.XLOOKUP(A653,MAQUINAS!$A$3:$A$55,MAQUINAS!$B$3:$B$55,"No encontrada"))</f>
        <v/>
      </c>
      <c r="C653" s="5"/>
      <c r="D653" s="5"/>
      <c r="E653" s="4" t="str">
        <f t="shared" si="10"/>
        <v/>
      </c>
      <c r="O653" s="12"/>
    </row>
    <row r="654" spans="2:15" x14ac:dyDescent="0.25">
      <c r="B654" t="str">
        <f>IF(A654="","",_xlfn.XLOOKUP(A654,MAQUINAS!$A$3:$A$55,MAQUINAS!$B$3:$B$55,"No encontrada"))</f>
        <v/>
      </c>
      <c r="C654" s="5"/>
      <c r="D654" s="5"/>
      <c r="E654" s="4" t="str">
        <f t="shared" si="10"/>
        <v/>
      </c>
      <c r="O654" s="12"/>
    </row>
    <row r="655" spans="2:15" x14ac:dyDescent="0.25">
      <c r="B655" t="str">
        <f>IF(A655="","",_xlfn.XLOOKUP(A655,MAQUINAS!$A$3:$A$55,MAQUINAS!$B$3:$B$55,"No encontrada"))</f>
        <v/>
      </c>
      <c r="C655" s="5"/>
      <c r="D655" s="5"/>
      <c r="E655" s="4" t="str">
        <f t="shared" si="10"/>
        <v/>
      </c>
      <c r="O655" s="12"/>
    </row>
    <row r="656" spans="2:15" x14ac:dyDescent="0.25">
      <c r="B656" t="str">
        <f>IF(A656="","",_xlfn.XLOOKUP(A656,MAQUINAS!$A$3:$A$55,MAQUINAS!$B$3:$B$55,"No encontrada"))</f>
        <v/>
      </c>
      <c r="C656" s="5"/>
      <c r="D656" s="5"/>
      <c r="E656" s="4" t="str">
        <f t="shared" si="10"/>
        <v/>
      </c>
      <c r="O656" s="12"/>
    </row>
    <row r="657" spans="2:15" x14ac:dyDescent="0.25">
      <c r="B657" t="str">
        <f>IF(A657="","",_xlfn.XLOOKUP(A657,MAQUINAS!$A$3:$A$55,MAQUINAS!$B$3:$B$55,"No encontrada"))</f>
        <v/>
      </c>
      <c r="C657" s="5"/>
      <c r="D657" s="5"/>
      <c r="E657" s="4" t="str">
        <f t="shared" si="10"/>
        <v/>
      </c>
      <c r="O657" s="12"/>
    </row>
    <row r="658" spans="2:15" x14ac:dyDescent="0.25">
      <c r="B658" t="str">
        <f>IF(A658="","",_xlfn.XLOOKUP(A658,MAQUINAS!$A$3:$A$55,MAQUINAS!$B$3:$B$55,"No encontrada"))</f>
        <v/>
      </c>
      <c r="C658" s="5"/>
      <c r="D658" s="5"/>
      <c r="E658" s="4" t="str">
        <f t="shared" si="10"/>
        <v/>
      </c>
      <c r="O658" s="12"/>
    </row>
    <row r="659" spans="2:15" x14ac:dyDescent="0.25">
      <c r="B659" t="str">
        <f>IF(A659="","",_xlfn.XLOOKUP(A659,MAQUINAS!$A$3:$A$55,MAQUINAS!$B$3:$B$55,"No encontrada"))</f>
        <v/>
      </c>
      <c r="C659" s="5"/>
      <c r="D659" s="5"/>
      <c r="E659" s="4" t="str">
        <f t="shared" si="10"/>
        <v/>
      </c>
      <c r="O659" s="12"/>
    </row>
    <row r="660" spans="2:15" x14ac:dyDescent="0.25">
      <c r="B660" t="str">
        <f>IF(A660="","",_xlfn.XLOOKUP(A660,MAQUINAS!$A$3:$A$55,MAQUINAS!$B$3:$B$55,"No encontrada"))</f>
        <v/>
      </c>
      <c r="C660" s="5"/>
      <c r="D660" s="5"/>
      <c r="E660" s="4" t="str">
        <f t="shared" si="10"/>
        <v/>
      </c>
      <c r="O660" s="12"/>
    </row>
    <row r="661" spans="2:15" x14ac:dyDescent="0.25">
      <c r="B661" t="str">
        <f>IF(A661="","",_xlfn.XLOOKUP(A661,MAQUINAS!$A$3:$A$55,MAQUINAS!$B$3:$B$55,"No encontrada"))</f>
        <v/>
      </c>
      <c r="C661" s="5"/>
      <c r="D661" s="5"/>
      <c r="E661" s="4" t="str">
        <f t="shared" si="10"/>
        <v/>
      </c>
      <c r="O661" s="12"/>
    </row>
    <row r="662" spans="2:15" x14ac:dyDescent="0.25">
      <c r="B662" t="str">
        <f>IF(A662="","",_xlfn.XLOOKUP(A662,MAQUINAS!$A$3:$A$55,MAQUINAS!$B$3:$B$55,"No encontrada"))</f>
        <v/>
      </c>
      <c r="C662" s="5"/>
      <c r="D662" s="5"/>
      <c r="E662" s="4" t="str">
        <f t="shared" si="10"/>
        <v/>
      </c>
      <c r="O662" s="12"/>
    </row>
    <row r="663" spans="2:15" x14ac:dyDescent="0.25">
      <c r="B663" t="str">
        <f>IF(A663="","",_xlfn.XLOOKUP(A663,MAQUINAS!$A$3:$A$55,MAQUINAS!$B$3:$B$55,"No encontrada"))</f>
        <v/>
      </c>
      <c r="C663" s="5"/>
      <c r="D663" s="5"/>
      <c r="E663" s="4" t="str">
        <f t="shared" si="10"/>
        <v/>
      </c>
      <c r="O663" s="12"/>
    </row>
    <row r="664" spans="2:15" x14ac:dyDescent="0.25">
      <c r="B664" t="str">
        <f>IF(A664="","",_xlfn.XLOOKUP(A664,MAQUINAS!$A$3:$A$55,MAQUINAS!$B$3:$B$55,"No encontrada"))</f>
        <v/>
      </c>
      <c r="C664" s="5"/>
      <c r="D664" s="5"/>
      <c r="E664" s="4" t="str">
        <f t="shared" si="10"/>
        <v/>
      </c>
      <c r="O664" s="12"/>
    </row>
    <row r="665" spans="2:15" x14ac:dyDescent="0.25">
      <c r="B665" t="str">
        <f>IF(A665="","",_xlfn.XLOOKUP(A665,MAQUINAS!$A$3:$A$55,MAQUINAS!$B$3:$B$55,"No encontrada"))</f>
        <v/>
      </c>
      <c r="C665" s="5"/>
      <c r="D665" s="5"/>
      <c r="E665" s="4" t="str">
        <f t="shared" si="10"/>
        <v/>
      </c>
      <c r="O665" s="12"/>
    </row>
    <row r="666" spans="2:15" x14ac:dyDescent="0.25">
      <c r="B666" t="str">
        <f>IF(A666="","",_xlfn.XLOOKUP(A666,MAQUINAS!$A$3:$A$55,MAQUINAS!$B$3:$B$55,"No encontrada"))</f>
        <v/>
      </c>
      <c r="C666" s="5"/>
      <c r="D666" s="5"/>
      <c r="E666" s="4" t="str">
        <f t="shared" si="10"/>
        <v/>
      </c>
      <c r="O666" s="12"/>
    </row>
    <row r="667" spans="2:15" x14ac:dyDescent="0.25">
      <c r="B667" t="str">
        <f>IF(A667="","",_xlfn.XLOOKUP(A667,MAQUINAS!$A$3:$A$55,MAQUINAS!$B$3:$B$55,"No encontrada"))</f>
        <v/>
      </c>
      <c r="C667" s="5"/>
      <c r="D667" s="5"/>
      <c r="E667" s="4" t="str">
        <f t="shared" si="10"/>
        <v/>
      </c>
      <c r="O667" s="12"/>
    </row>
    <row r="668" spans="2:15" x14ac:dyDescent="0.25">
      <c r="B668" t="str">
        <f>IF(A668="","",_xlfn.XLOOKUP(A668,MAQUINAS!$A$3:$A$55,MAQUINAS!$B$3:$B$55,"No encontrada"))</f>
        <v/>
      </c>
      <c r="C668" s="5"/>
      <c r="D668" s="5"/>
      <c r="E668" s="4" t="str">
        <f t="shared" si="10"/>
        <v/>
      </c>
      <c r="O668" s="12"/>
    </row>
    <row r="669" spans="2:15" x14ac:dyDescent="0.25">
      <c r="B669" t="str">
        <f>IF(A669="","",_xlfn.XLOOKUP(A669,MAQUINAS!$A$3:$A$55,MAQUINAS!$B$3:$B$55,"No encontrada"))</f>
        <v/>
      </c>
      <c r="C669" s="5"/>
      <c r="D669" s="5"/>
      <c r="E669" s="4" t="str">
        <f t="shared" si="10"/>
        <v/>
      </c>
      <c r="O669" s="12"/>
    </row>
    <row r="670" spans="2:15" x14ac:dyDescent="0.25">
      <c r="B670" t="str">
        <f>IF(A670="","",_xlfn.XLOOKUP(A670,MAQUINAS!$A$3:$A$55,MAQUINAS!$B$3:$B$55,"No encontrada"))</f>
        <v/>
      </c>
      <c r="C670" s="5"/>
      <c r="D670" s="5"/>
      <c r="E670" s="4" t="str">
        <f t="shared" si="10"/>
        <v/>
      </c>
      <c r="O670" s="12"/>
    </row>
    <row r="671" spans="2:15" x14ac:dyDescent="0.25">
      <c r="B671" t="str">
        <f>IF(A671="","",_xlfn.XLOOKUP(A671,MAQUINAS!$A$3:$A$55,MAQUINAS!$B$3:$B$55,"No encontrada"))</f>
        <v/>
      </c>
      <c r="C671" s="5"/>
      <c r="D671" s="5"/>
      <c r="E671" s="4" t="str">
        <f t="shared" si="10"/>
        <v/>
      </c>
      <c r="O671" s="12"/>
    </row>
    <row r="672" spans="2:15" x14ac:dyDescent="0.25">
      <c r="B672" t="str">
        <f>IF(A672="","",_xlfn.XLOOKUP(A672,MAQUINAS!$A$3:$A$55,MAQUINAS!$B$3:$B$55,"No encontrada"))</f>
        <v/>
      </c>
      <c r="C672" s="5"/>
      <c r="D672" s="5"/>
      <c r="E672" s="4" t="str">
        <f t="shared" si="10"/>
        <v/>
      </c>
      <c r="O672" s="12"/>
    </row>
    <row r="673" spans="2:15" x14ac:dyDescent="0.25">
      <c r="B673" t="str">
        <f>IF(A673="","",_xlfn.XLOOKUP(A673,MAQUINAS!$A$3:$A$55,MAQUINAS!$B$3:$B$55,"No encontrada"))</f>
        <v/>
      </c>
      <c r="C673" s="5"/>
      <c r="D673" s="5"/>
      <c r="E673" s="4" t="str">
        <f t="shared" si="10"/>
        <v/>
      </c>
      <c r="O673" s="12"/>
    </row>
    <row r="674" spans="2:15" x14ac:dyDescent="0.25">
      <c r="B674" t="str">
        <f>IF(A674="","",_xlfn.XLOOKUP(A674,MAQUINAS!$A$3:$A$55,MAQUINAS!$B$3:$B$55,"No encontrada"))</f>
        <v/>
      </c>
      <c r="C674" s="5"/>
      <c r="D674" s="5"/>
      <c r="E674" s="4" t="str">
        <f t="shared" si="10"/>
        <v/>
      </c>
      <c r="O674" s="12"/>
    </row>
    <row r="675" spans="2:15" x14ac:dyDescent="0.25">
      <c r="B675" t="str">
        <f>IF(A675="","",_xlfn.XLOOKUP(A675,MAQUINAS!$A$3:$A$55,MAQUINAS!$B$3:$B$55,"No encontrada"))</f>
        <v/>
      </c>
      <c r="C675" s="5"/>
      <c r="D675" s="5"/>
      <c r="E675" s="4" t="str">
        <f t="shared" si="10"/>
        <v/>
      </c>
      <c r="O675" s="12"/>
    </row>
    <row r="676" spans="2:15" x14ac:dyDescent="0.25">
      <c r="B676" t="str">
        <f>IF(A676="","",_xlfn.XLOOKUP(A676,MAQUINAS!$A$3:$A$55,MAQUINAS!$B$3:$B$55,"No encontrada"))</f>
        <v/>
      </c>
      <c r="C676" s="5"/>
      <c r="D676" s="5"/>
      <c r="E676" s="4" t="str">
        <f t="shared" si="10"/>
        <v/>
      </c>
      <c r="O676" s="12"/>
    </row>
    <row r="677" spans="2:15" x14ac:dyDescent="0.25">
      <c r="B677" t="str">
        <f>IF(A677="","",_xlfn.XLOOKUP(A677,MAQUINAS!$A$3:$A$55,MAQUINAS!$B$3:$B$55,"No encontrada"))</f>
        <v/>
      </c>
      <c r="C677" s="5"/>
      <c r="D677" s="5"/>
      <c r="E677" s="4" t="str">
        <f t="shared" si="10"/>
        <v/>
      </c>
      <c r="O677" s="12"/>
    </row>
    <row r="678" spans="2:15" x14ac:dyDescent="0.25">
      <c r="B678" t="str">
        <f>IF(A678="","",_xlfn.XLOOKUP(A678,MAQUINAS!$A$3:$A$55,MAQUINAS!$B$3:$B$55,"No encontrada"))</f>
        <v/>
      </c>
      <c r="C678" s="5"/>
      <c r="D678" s="5"/>
      <c r="E678" s="4" t="str">
        <f t="shared" si="10"/>
        <v/>
      </c>
      <c r="O678" s="12"/>
    </row>
    <row r="679" spans="2:15" x14ac:dyDescent="0.25">
      <c r="B679" t="str">
        <f>IF(A679="","",_xlfn.XLOOKUP(A679,MAQUINAS!$A$3:$A$55,MAQUINAS!$B$3:$B$55,"No encontrada"))</f>
        <v/>
      </c>
      <c r="C679" s="5"/>
      <c r="D679" s="5"/>
      <c r="E679" s="4" t="str">
        <f t="shared" si="10"/>
        <v/>
      </c>
      <c r="O679" s="12"/>
    </row>
    <row r="680" spans="2:15" x14ac:dyDescent="0.25">
      <c r="B680" t="str">
        <f>IF(A680="","",_xlfn.XLOOKUP(A680,MAQUINAS!$A$3:$A$55,MAQUINAS!$B$3:$B$55,"No encontrada"))</f>
        <v/>
      </c>
      <c r="C680" s="5"/>
      <c r="D680" s="5"/>
      <c r="E680" s="4" t="str">
        <f t="shared" si="10"/>
        <v/>
      </c>
      <c r="O680" s="12"/>
    </row>
    <row r="681" spans="2:15" x14ac:dyDescent="0.25">
      <c r="B681" t="str">
        <f>IF(A681="","",_xlfn.XLOOKUP(A681,MAQUINAS!$A$3:$A$55,MAQUINAS!$B$3:$B$55,"No encontrada"))</f>
        <v/>
      </c>
      <c r="C681" s="5"/>
      <c r="D681" s="5"/>
      <c r="E681" s="4" t="str">
        <f t="shared" si="10"/>
        <v/>
      </c>
      <c r="O681" s="12"/>
    </row>
    <row r="682" spans="2:15" x14ac:dyDescent="0.25">
      <c r="B682" t="str">
        <f>IF(A682="","",_xlfn.XLOOKUP(A682,MAQUINAS!$A$3:$A$55,MAQUINAS!$B$3:$B$55,"No encontrada"))</f>
        <v/>
      </c>
      <c r="C682" s="5"/>
      <c r="D682" s="5"/>
      <c r="E682" s="4" t="str">
        <f t="shared" si="10"/>
        <v/>
      </c>
      <c r="O682" s="12"/>
    </row>
    <row r="683" spans="2:15" x14ac:dyDescent="0.25">
      <c r="B683" t="str">
        <f>IF(A683="","",_xlfn.XLOOKUP(A683,MAQUINAS!$A$3:$A$55,MAQUINAS!$B$3:$B$55,"No encontrada"))</f>
        <v/>
      </c>
      <c r="C683" s="5"/>
      <c r="D683" s="5"/>
      <c r="E683" s="4" t="str">
        <f t="shared" si="10"/>
        <v/>
      </c>
      <c r="O683" s="12"/>
    </row>
    <row r="684" spans="2:15" x14ac:dyDescent="0.25">
      <c r="B684" t="str">
        <f>IF(A684="","",_xlfn.XLOOKUP(A684,MAQUINAS!$A$3:$A$55,MAQUINAS!$B$3:$B$55,"No encontrada"))</f>
        <v/>
      </c>
      <c r="C684" s="5"/>
      <c r="D684" s="5"/>
      <c r="E684" s="4" t="str">
        <f t="shared" si="10"/>
        <v/>
      </c>
      <c r="O684" s="12"/>
    </row>
    <row r="685" spans="2:15" x14ac:dyDescent="0.25">
      <c r="B685" t="str">
        <f>IF(A685="","",_xlfn.XLOOKUP(A685,MAQUINAS!$A$3:$A$55,MAQUINAS!$B$3:$B$55,"No encontrada"))</f>
        <v/>
      </c>
      <c r="C685" s="5"/>
      <c r="D685" s="5"/>
      <c r="E685" s="4" t="str">
        <f t="shared" si="10"/>
        <v/>
      </c>
      <c r="O685" s="12"/>
    </row>
    <row r="686" spans="2:15" x14ac:dyDescent="0.25">
      <c r="B686" t="str">
        <f>IF(A686="","",_xlfn.XLOOKUP(A686,MAQUINAS!$A$3:$A$55,MAQUINAS!$B$3:$B$55,"No encontrada"))</f>
        <v/>
      </c>
      <c r="C686" s="5"/>
      <c r="D686" s="5"/>
      <c r="E686" s="4" t="str">
        <f t="shared" si="10"/>
        <v/>
      </c>
      <c r="O686" s="12"/>
    </row>
    <row r="687" spans="2:15" x14ac:dyDescent="0.25">
      <c r="B687" t="str">
        <f>IF(A687="","",_xlfn.XLOOKUP(A687,MAQUINAS!$A$3:$A$55,MAQUINAS!$B$3:$B$55,"No encontrada"))</f>
        <v/>
      </c>
      <c r="C687" s="5"/>
      <c r="D687" s="5"/>
      <c r="E687" s="4" t="str">
        <f t="shared" si="10"/>
        <v/>
      </c>
      <c r="O687" s="12"/>
    </row>
    <row r="688" spans="2:15" x14ac:dyDescent="0.25">
      <c r="B688" t="str">
        <f>IF(A688="","",_xlfn.XLOOKUP(A688,MAQUINAS!$A$3:$A$55,MAQUINAS!$B$3:$B$55,"No encontrada"))</f>
        <v/>
      </c>
      <c r="C688" s="5"/>
      <c r="D688" s="5"/>
      <c r="E688" s="4" t="str">
        <f t="shared" si="10"/>
        <v/>
      </c>
      <c r="O688" s="12"/>
    </row>
    <row r="689" spans="2:15" x14ac:dyDescent="0.25">
      <c r="B689" t="str">
        <f>IF(A689="","",_xlfn.XLOOKUP(A689,MAQUINAS!$A$3:$A$55,MAQUINAS!$B$3:$B$55,"No encontrada"))</f>
        <v/>
      </c>
      <c r="C689" s="5"/>
      <c r="D689" s="5"/>
      <c r="E689" s="4" t="str">
        <f t="shared" si="10"/>
        <v/>
      </c>
      <c r="O689" s="12"/>
    </row>
    <row r="690" spans="2:15" x14ac:dyDescent="0.25">
      <c r="B690" t="str">
        <f>IF(A690="","",_xlfn.XLOOKUP(A690,MAQUINAS!$A$3:$A$55,MAQUINAS!$B$3:$B$55,"No encontrada"))</f>
        <v/>
      </c>
      <c r="C690" s="5"/>
      <c r="D690" s="5"/>
      <c r="E690" s="4" t="str">
        <f t="shared" si="10"/>
        <v/>
      </c>
      <c r="O690" s="12"/>
    </row>
    <row r="691" spans="2:15" x14ac:dyDescent="0.25">
      <c r="B691" t="str">
        <f>IF(A691="","",_xlfn.XLOOKUP(A691,MAQUINAS!$A$3:$A$55,MAQUINAS!$B$3:$B$55,"No encontrada"))</f>
        <v/>
      </c>
      <c r="C691" s="5"/>
      <c r="D691" s="5"/>
      <c r="E691" s="4" t="str">
        <f t="shared" si="10"/>
        <v/>
      </c>
      <c r="O691" s="12"/>
    </row>
    <row r="692" spans="2:15" x14ac:dyDescent="0.25">
      <c r="B692" t="str">
        <f>IF(A692="","",_xlfn.XLOOKUP(A692,MAQUINAS!$A$3:$A$55,MAQUINAS!$B$3:$B$55,"No encontrada"))</f>
        <v/>
      </c>
      <c r="C692" s="5"/>
      <c r="D692" s="5"/>
      <c r="E692" s="4" t="str">
        <f t="shared" si="10"/>
        <v/>
      </c>
      <c r="O692" s="12"/>
    </row>
    <row r="693" spans="2:15" x14ac:dyDescent="0.25">
      <c r="B693" t="str">
        <f>IF(A693="","",_xlfn.XLOOKUP(A693,MAQUINAS!$A$3:$A$55,MAQUINAS!$B$3:$B$55,"No encontrada"))</f>
        <v/>
      </c>
      <c r="C693" s="5"/>
      <c r="D693" s="5"/>
      <c r="E693" s="4" t="str">
        <f t="shared" si="10"/>
        <v/>
      </c>
      <c r="O693" s="12"/>
    </row>
    <row r="694" spans="2:15" x14ac:dyDescent="0.25">
      <c r="B694" t="str">
        <f>IF(A694="","",_xlfn.XLOOKUP(A694,MAQUINAS!$A$3:$A$55,MAQUINAS!$B$3:$B$55,"No encontrada"))</f>
        <v/>
      </c>
      <c r="C694" s="5"/>
      <c r="D694" s="5"/>
      <c r="E694" s="4" t="str">
        <f t="shared" si="10"/>
        <v/>
      </c>
      <c r="O694" s="12"/>
    </row>
    <row r="695" spans="2:15" x14ac:dyDescent="0.25">
      <c r="B695" t="str">
        <f>IF(A695="","",_xlfn.XLOOKUP(A695,MAQUINAS!$A$3:$A$55,MAQUINAS!$B$3:$B$55,"No encontrada"))</f>
        <v/>
      </c>
      <c r="C695" s="5"/>
      <c r="D695" s="5"/>
      <c r="E695" s="4" t="str">
        <f t="shared" si="10"/>
        <v/>
      </c>
      <c r="O695" s="12"/>
    </row>
    <row r="696" spans="2:15" x14ac:dyDescent="0.25">
      <c r="B696" t="str">
        <f>IF(A696="","",_xlfn.XLOOKUP(A696,MAQUINAS!$A$3:$A$55,MAQUINAS!$B$3:$B$55,"No encontrada"))</f>
        <v/>
      </c>
      <c r="C696" s="5"/>
      <c r="D696" s="5"/>
      <c r="E696" s="4" t="str">
        <f t="shared" si="10"/>
        <v/>
      </c>
      <c r="O696" s="12"/>
    </row>
    <row r="697" spans="2:15" x14ac:dyDescent="0.25">
      <c r="B697" t="str">
        <f>IF(A697="","",_xlfn.XLOOKUP(A697,MAQUINAS!$A$3:$A$55,MAQUINAS!$B$3:$B$55,"No encontrada"))</f>
        <v/>
      </c>
      <c r="C697" s="5"/>
      <c r="D697" s="5"/>
      <c r="E697" s="4" t="str">
        <f t="shared" si="10"/>
        <v/>
      </c>
      <c r="O697" s="12"/>
    </row>
    <row r="698" spans="2:15" x14ac:dyDescent="0.25">
      <c r="B698" t="str">
        <f>IF(A698="","",_xlfn.XLOOKUP(A698,MAQUINAS!$A$3:$A$55,MAQUINAS!$B$3:$B$55,"No encontrada"))</f>
        <v/>
      </c>
      <c r="C698" s="5"/>
      <c r="D698" s="5"/>
      <c r="E698" s="4" t="str">
        <f t="shared" si="10"/>
        <v/>
      </c>
      <c r="O698" s="12"/>
    </row>
    <row r="699" spans="2:15" x14ac:dyDescent="0.25">
      <c r="B699" t="str">
        <f>IF(A699="","",_xlfn.XLOOKUP(A699,MAQUINAS!$A$3:$A$55,MAQUINAS!$B$3:$B$55,"No encontrada"))</f>
        <v/>
      </c>
      <c r="C699" s="5"/>
      <c r="D699" s="5"/>
      <c r="E699" s="4" t="str">
        <f t="shared" si="10"/>
        <v/>
      </c>
      <c r="O699" s="12"/>
    </row>
    <row r="700" spans="2:15" x14ac:dyDescent="0.25">
      <c r="B700" t="str">
        <f>IF(A700="","",_xlfn.XLOOKUP(A700,MAQUINAS!$A$3:$A$55,MAQUINAS!$B$3:$B$55,"No encontrada"))</f>
        <v/>
      </c>
      <c r="C700" s="5"/>
      <c r="D700" s="5"/>
      <c r="E700" s="4" t="str">
        <f t="shared" si="10"/>
        <v/>
      </c>
      <c r="O700" s="12"/>
    </row>
    <row r="701" spans="2:15" x14ac:dyDescent="0.25">
      <c r="B701" t="str">
        <f>IF(A701="","",_xlfn.XLOOKUP(A701,MAQUINAS!$A$3:$A$55,MAQUINAS!$B$3:$B$55,"No encontrada"))</f>
        <v/>
      </c>
      <c r="C701" s="5"/>
      <c r="D701" s="5"/>
      <c r="E701" s="4" t="str">
        <f t="shared" si="10"/>
        <v/>
      </c>
      <c r="O701" s="12"/>
    </row>
    <row r="702" spans="2:15" x14ac:dyDescent="0.25">
      <c r="B702" t="str">
        <f>IF(A702="","",_xlfn.XLOOKUP(A702,MAQUINAS!$A$3:$A$55,MAQUINAS!$B$3:$B$55,"No encontrada"))</f>
        <v/>
      </c>
      <c r="C702" s="5"/>
      <c r="D702" s="5"/>
      <c r="E702" s="4" t="str">
        <f t="shared" si="10"/>
        <v/>
      </c>
      <c r="O702" s="12"/>
    </row>
    <row r="703" spans="2:15" x14ac:dyDescent="0.25">
      <c r="B703" t="str">
        <f>IF(A703="","",_xlfn.XLOOKUP(A703,MAQUINAS!$A$3:$A$55,MAQUINAS!$B$3:$B$55,"No encontrada"))</f>
        <v/>
      </c>
      <c r="C703" s="5"/>
      <c r="D703" s="5"/>
      <c r="E703" s="4" t="str">
        <f t="shared" si="10"/>
        <v/>
      </c>
      <c r="O703" s="12"/>
    </row>
    <row r="704" spans="2:15" x14ac:dyDescent="0.25">
      <c r="B704" t="str">
        <f>IF(A704="","",_xlfn.XLOOKUP(A704,MAQUINAS!$A$3:$A$55,MAQUINAS!$B$3:$B$55,"No encontrada"))</f>
        <v/>
      </c>
      <c r="C704" s="5"/>
      <c r="D704" s="5"/>
      <c r="E704" s="4" t="str">
        <f t="shared" si="10"/>
        <v/>
      </c>
      <c r="O704" s="12"/>
    </row>
    <row r="705" spans="2:15" x14ac:dyDescent="0.25">
      <c r="B705" t="str">
        <f>IF(A705="","",_xlfn.XLOOKUP(A705,MAQUINAS!$A$3:$A$55,MAQUINAS!$B$3:$B$55,"No encontrada"))</f>
        <v/>
      </c>
      <c r="C705" s="5"/>
      <c r="D705" s="5"/>
      <c r="E705" s="4" t="str">
        <f t="shared" si="10"/>
        <v/>
      </c>
      <c r="O705" s="12"/>
    </row>
    <row r="706" spans="2:15" x14ac:dyDescent="0.25">
      <c r="B706" t="str">
        <f>IF(A706="","",_xlfn.XLOOKUP(A706,MAQUINAS!$A$3:$A$55,MAQUINAS!$B$3:$B$55,"No encontrada"))</f>
        <v/>
      </c>
      <c r="C706" s="5"/>
      <c r="D706" s="5"/>
      <c r="E706" s="4" t="str">
        <f t="shared" si="10"/>
        <v/>
      </c>
      <c r="O706" s="12"/>
    </row>
    <row r="707" spans="2:15" x14ac:dyDescent="0.25">
      <c r="B707" t="str">
        <f>IF(A707="","",_xlfn.XLOOKUP(A707,MAQUINAS!$A$3:$A$55,MAQUINAS!$B$3:$B$55,"No encontrada"))</f>
        <v/>
      </c>
      <c r="C707" s="5"/>
      <c r="D707" s="5"/>
      <c r="E707" s="4" t="str">
        <f t="shared" ref="E707:E770" si="11">IF(OR(C707="",D707=""),"",MOD(D707-C707,1))</f>
        <v/>
      </c>
      <c r="O707" s="12"/>
    </row>
    <row r="708" spans="2:15" x14ac:dyDescent="0.25">
      <c r="B708" t="str">
        <f>IF(A708="","",_xlfn.XLOOKUP(A708,MAQUINAS!$A$3:$A$55,MAQUINAS!$B$3:$B$55,"No encontrada"))</f>
        <v/>
      </c>
      <c r="C708" s="5"/>
      <c r="D708" s="5"/>
      <c r="E708" s="4" t="str">
        <f t="shared" si="11"/>
        <v/>
      </c>
      <c r="O708" s="12"/>
    </row>
    <row r="709" spans="2:15" x14ac:dyDescent="0.25">
      <c r="B709" t="str">
        <f>IF(A709="","",_xlfn.XLOOKUP(A709,MAQUINAS!$A$3:$A$55,MAQUINAS!$B$3:$B$55,"No encontrada"))</f>
        <v/>
      </c>
      <c r="C709" s="5"/>
      <c r="D709" s="5"/>
      <c r="E709" s="4" t="str">
        <f t="shared" si="11"/>
        <v/>
      </c>
      <c r="O709" s="12"/>
    </row>
    <row r="710" spans="2:15" x14ac:dyDescent="0.25">
      <c r="B710" t="str">
        <f>IF(A710="","",_xlfn.XLOOKUP(A710,MAQUINAS!$A$3:$A$55,MAQUINAS!$B$3:$B$55,"No encontrada"))</f>
        <v/>
      </c>
      <c r="C710" s="5"/>
      <c r="D710" s="5"/>
      <c r="E710" s="4" t="str">
        <f t="shared" si="11"/>
        <v/>
      </c>
      <c r="O710" s="12"/>
    </row>
    <row r="711" spans="2:15" x14ac:dyDescent="0.25">
      <c r="B711" t="str">
        <f>IF(A711="","",_xlfn.XLOOKUP(A711,MAQUINAS!$A$3:$A$55,MAQUINAS!$B$3:$B$55,"No encontrada"))</f>
        <v/>
      </c>
      <c r="C711" s="5"/>
      <c r="D711" s="5"/>
      <c r="E711" s="4" t="str">
        <f t="shared" si="11"/>
        <v/>
      </c>
      <c r="O711" s="12"/>
    </row>
    <row r="712" spans="2:15" x14ac:dyDescent="0.25">
      <c r="B712" t="str">
        <f>IF(A712="","",_xlfn.XLOOKUP(A712,MAQUINAS!$A$3:$A$55,MAQUINAS!$B$3:$B$55,"No encontrada"))</f>
        <v/>
      </c>
      <c r="C712" s="5"/>
      <c r="D712" s="5"/>
      <c r="E712" s="4" t="str">
        <f t="shared" si="11"/>
        <v/>
      </c>
      <c r="O712" s="12"/>
    </row>
    <row r="713" spans="2:15" x14ac:dyDescent="0.25">
      <c r="B713" t="str">
        <f>IF(A713="","",_xlfn.XLOOKUP(A713,MAQUINAS!$A$3:$A$55,MAQUINAS!$B$3:$B$55,"No encontrada"))</f>
        <v/>
      </c>
      <c r="C713" s="5"/>
      <c r="D713" s="5"/>
      <c r="E713" s="4" t="str">
        <f t="shared" si="11"/>
        <v/>
      </c>
      <c r="O713" s="12"/>
    </row>
    <row r="714" spans="2:15" x14ac:dyDescent="0.25">
      <c r="B714" t="str">
        <f>IF(A714="","",_xlfn.XLOOKUP(A714,MAQUINAS!$A$3:$A$55,MAQUINAS!$B$3:$B$55,"No encontrada"))</f>
        <v/>
      </c>
      <c r="C714" s="5"/>
      <c r="D714" s="5"/>
      <c r="E714" s="4" t="str">
        <f t="shared" si="11"/>
        <v/>
      </c>
      <c r="O714" s="12"/>
    </row>
    <row r="715" spans="2:15" x14ac:dyDescent="0.25">
      <c r="B715" t="str">
        <f>IF(A715="","",_xlfn.XLOOKUP(A715,MAQUINAS!$A$3:$A$55,MAQUINAS!$B$3:$B$55,"No encontrada"))</f>
        <v/>
      </c>
      <c r="C715" s="5"/>
      <c r="D715" s="5"/>
      <c r="E715" s="4" t="str">
        <f t="shared" si="11"/>
        <v/>
      </c>
      <c r="O715" s="12"/>
    </row>
    <row r="716" spans="2:15" x14ac:dyDescent="0.25">
      <c r="B716" t="str">
        <f>IF(A716="","",_xlfn.XLOOKUP(A716,MAQUINAS!$A$3:$A$55,MAQUINAS!$B$3:$B$55,"No encontrada"))</f>
        <v/>
      </c>
      <c r="C716" s="5"/>
      <c r="D716" s="5"/>
      <c r="E716" s="4" t="str">
        <f t="shared" si="11"/>
        <v/>
      </c>
      <c r="O716" s="12"/>
    </row>
    <row r="717" spans="2:15" x14ac:dyDescent="0.25">
      <c r="B717" t="str">
        <f>IF(A717="","",_xlfn.XLOOKUP(A717,MAQUINAS!$A$3:$A$55,MAQUINAS!$B$3:$B$55,"No encontrada"))</f>
        <v/>
      </c>
      <c r="C717" s="5"/>
      <c r="D717" s="5"/>
      <c r="E717" s="4" t="str">
        <f t="shared" si="11"/>
        <v/>
      </c>
      <c r="O717" s="12"/>
    </row>
    <row r="718" spans="2:15" x14ac:dyDescent="0.25">
      <c r="B718" t="str">
        <f>IF(A718="","",_xlfn.XLOOKUP(A718,MAQUINAS!$A$3:$A$55,MAQUINAS!$B$3:$B$55,"No encontrada"))</f>
        <v/>
      </c>
      <c r="C718" s="5"/>
      <c r="D718" s="5"/>
      <c r="E718" s="4" t="str">
        <f t="shared" si="11"/>
        <v/>
      </c>
      <c r="O718" s="12"/>
    </row>
    <row r="719" spans="2:15" x14ac:dyDescent="0.25">
      <c r="B719" t="str">
        <f>IF(A719="","",_xlfn.XLOOKUP(A719,MAQUINAS!$A$3:$A$55,MAQUINAS!$B$3:$B$55,"No encontrada"))</f>
        <v/>
      </c>
      <c r="C719" s="5"/>
      <c r="D719" s="5"/>
      <c r="E719" s="4" t="str">
        <f t="shared" si="11"/>
        <v/>
      </c>
      <c r="O719" s="12"/>
    </row>
    <row r="720" spans="2:15" x14ac:dyDescent="0.25">
      <c r="B720" t="str">
        <f>IF(A720="","",_xlfn.XLOOKUP(A720,MAQUINAS!$A$3:$A$55,MAQUINAS!$B$3:$B$55,"No encontrada"))</f>
        <v/>
      </c>
      <c r="C720" s="5"/>
      <c r="D720" s="5"/>
      <c r="E720" s="4" t="str">
        <f t="shared" si="11"/>
        <v/>
      </c>
      <c r="O720" s="12"/>
    </row>
    <row r="721" spans="2:15" x14ac:dyDescent="0.25">
      <c r="B721" t="str">
        <f>IF(A721="","",_xlfn.XLOOKUP(A721,MAQUINAS!$A$3:$A$55,MAQUINAS!$B$3:$B$55,"No encontrada"))</f>
        <v/>
      </c>
      <c r="C721" s="5"/>
      <c r="D721" s="5"/>
      <c r="E721" s="4" t="str">
        <f t="shared" si="11"/>
        <v/>
      </c>
      <c r="O721" s="12"/>
    </row>
    <row r="722" spans="2:15" x14ac:dyDescent="0.25">
      <c r="B722" t="str">
        <f>IF(A722="","",_xlfn.XLOOKUP(A722,MAQUINAS!$A$3:$A$55,MAQUINAS!$B$3:$B$55,"No encontrada"))</f>
        <v/>
      </c>
      <c r="C722" s="5"/>
      <c r="D722" s="5"/>
      <c r="E722" s="4" t="str">
        <f t="shared" si="11"/>
        <v/>
      </c>
      <c r="O722" s="12"/>
    </row>
    <row r="723" spans="2:15" x14ac:dyDescent="0.25">
      <c r="B723" t="str">
        <f>IF(A723="","",_xlfn.XLOOKUP(A723,MAQUINAS!$A$3:$A$55,MAQUINAS!$B$3:$B$55,"No encontrada"))</f>
        <v/>
      </c>
      <c r="C723" s="5"/>
      <c r="D723" s="5"/>
      <c r="E723" s="4" t="str">
        <f t="shared" si="11"/>
        <v/>
      </c>
      <c r="O723" s="12"/>
    </row>
    <row r="724" spans="2:15" x14ac:dyDescent="0.25">
      <c r="B724" t="str">
        <f>IF(A724="","",_xlfn.XLOOKUP(A724,MAQUINAS!$A$3:$A$55,MAQUINAS!$B$3:$B$55,"No encontrada"))</f>
        <v/>
      </c>
      <c r="C724" s="5"/>
      <c r="D724" s="5"/>
      <c r="E724" s="4" t="str">
        <f t="shared" si="11"/>
        <v/>
      </c>
      <c r="O724" s="12"/>
    </row>
    <row r="725" spans="2:15" x14ac:dyDescent="0.25">
      <c r="B725" t="str">
        <f>IF(A725="","",_xlfn.XLOOKUP(A725,MAQUINAS!$A$3:$A$55,MAQUINAS!$B$3:$B$55,"No encontrada"))</f>
        <v/>
      </c>
      <c r="C725" s="5"/>
      <c r="D725" s="5"/>
      <c r="E725" s="4" t="str">
        <f t="shared" si="11"/>
        <v/>
      </c>
      <c r="O725" s="12"/>
    </row>
    <row r="726" spans="2:15" x14ac:dyDescent="0.25">
      <c r="B726" t="str">
        <f>IF(A726="","",_xlfn.XLOOKUP(A726,MAQUINAS!$A$3:$A$55,MAQUINAS!$B$3:$B$55,"No encontrada"))</f>
        <v/>
      </c>
      <c r="C726" s="5"/>
      <c r="D726" s="5"/>
      <c r="E726" s="4" t="str">
        <f t="shared" si="11"/>
        <v/>
      </c>
      <c r="O726" s="12"/>
    </row>
    <row r="727" spans="2:15" x14ac:dyDescent="0.25">
      <c r="B727" t="str">
        <f>IF(A727="","",_xlfn.XLOOKUP(A727,MAQUINAS!$A$3:$A$55,MAQUINAS!$B$3:$B$55,"No encontrada"))</f>
        <v/>
      </c>
      <c r="C727" s="5"/>
      <c r="D727" s="5"/>
      <c r="E727" s="4" t="str">
        <f t="shared" si="11"/>
        <v/>
      </c>
      <c r="O727" s="12"/>
    </row>
    <row r="728" spans="2:15" x14ac:dyDescent="0.25">
      <c r="B728" t="str">
        <f>IF(A728="","",_xlfn.XLOOKUP(A728,MAQUINAS!$A$3:$A$55,MAQUINAS!$B$3:$B$55,"No encontrada"))</f>
        <v/>
      </c>
      <c r="C728" s="5"/>
      <c r="D728" s="5"/>
      <c r="E728" s="4" t="str">
        <f t="shared" si="11"/>
        <v/>
      </c>
      <c r="O728" s="12"/>
    </row>
    <row r="729" spans="2:15" x14ac:dyDescent="0.25">
      <c r="B729" t="str">
        <f>IF(A729="","",_xlfn.XLOOKUP(A729,MAQUINAS!$A$3:$A$55,MAQUINAS!$B$3:$B$55,"No encontrada"))</f>
        <v/>
      </c>
      <c r="C729" s="5"/>
      <c r="D729" s="5"/>
      <c r="E729" s="4" t="str">
        <f t="shared" si="11"/>
        <v/>
      </c>
      <c r="O729" s="12"/>
    </row>
    <row r="730" spans="2:15" x14ac:dyDescent="0.25">
      <c r="B730" t="str">
        <f>IF(A730="","",_xlfn.XLOOKUP(A730,MAQUINAS!$A$3:$A$55,MAQUINAS!$B$3:$B$55,"No encontrada"))</f>
        <v/>
      </c>
      <c r="C730" s="5"/>
      <c r="D730" s="5"/>
      <c r="E730" s="4" t="str">
        <f t="shared" si="11"/>
        <v/>
      </c>
      <c r="O730" s="12"/>
    </row>
    <row r="731" spans="2:15" x14ac:dyDescent="0.25">
      <c r="B731" t="str">
        <f>IF(A731="","",_xlfn.XLOOKUP(A731,MAQUINAS!$A$3:$A$55,MAQUINAS!$B$3:$B$55,"No encontrada"))</f>
        <v/>
      </c>
      <c r="C731" s="5"/>
      <c r="D731" s="5"/>
      <c r="E731" s="4" t="str">
        <f t="shared" si="11"/>
        <v/>
      </c>
      <c r="O731" s="12"/>
    </row>
    <row r="732" spans="2:15" x14ac:dyDescent="0.25">
      <c r="B732" t="str">
        <f>IF(A732="","",_xlfn.XLOOKUP(A732,MAQUINAS!$A$3:$A$55,MAQUINAS!$B$3:$B$55,"No encontrada"))</f>
        <v/>
      </c>
      <c r="C732" s="5"/>
      <c r="D732" s="5"/>
      <c r="E732" s="4" t="str">
        <f t="shared" si="11"/>
        <v/>
      </c>
      <c r="O732" s="12"/>
    </row>
    <row r="733" spans="2:15" x14ac:dyDescent="0.25">
      <c r="B733" t="str">
        <f>IF(A733="","",_xlfn.XLOOKUP(A733,MAQUINAS!$A$3:$A$55,MAQUINAS!$B$3:$B$55,"No encontrada"))</f>
        <v/>
      </c>
      <c r="C733" s="5"/>
      <c r="D733" s="5"/>
      <c r="E733" s="4" t="str">
        <f t="shared" si="11"/>
        <v/>
      </c>
      <c r="O733" s="12"/>
    </row>
    <row r="734" spans="2:15" x14ac:dyDescent="0.25">
      <c r="B734" t="str">
        <f>IF(A734="","",_xlfn.XLOOKUP(A734,MAQUINAS!$A$3:$A$55,MAQUINAS!$B$3:$B$55,"No encontrada"))</f>
        <v/>
      </c>
      <c r="C734" s="5"/>
      <c r="D734" s="5"/>
      <c r="E734" s="4" t="str">
        <f t="shared" si="11"/>
        <v/>
      </c>
      <c r="O734" s="12"/>
    </row>
    <row r="735" spans="2:15" x14ac:dyDescent="0.25">
      <c r="B735" t="str">
        <f>IF(A735="","",_xlfn.XLOOKUP(A735,MAQUINAS!$A$3:$A$55,MAQUINAS!$B$3:$B$55,"No encontrada"))</f>
        <v/>
      </c>
      <c r="C735" s="5"/>
      <c r="D735" s="5"/>
      <c r="E735" s="4" t="str">
        <f t="shared" si="11"/>
        <v/>
      </c>
      <c r="O735" s="12"/>
    </row>
    <row r="736" spans="2:15" x14ac:dyDescent="0.25">
      <c r="B736" t="str">
        <f>IF(A736="","",_xlfn.XLOOKUP(A736,MAQUINAS!$A$3:$A$55,MAQUINAS!$B$3:$B$55,"No encontrada"))</f>
        <v/>
      </c>
      <c r="C736" s="5"/>
      <c r="D736" s="5"/>
      <c r="E736" s="4" t="str">
        <f t="shared" si="11"/>
        <v/>
      </c>
      <c r="O736" s="12"/>
    </row>
    <row r="737" spans="2:15" x14ac:dyDescent="0.25">
      <c r="B737" t="str">
        <f>IF(A737="","",_xlfn.XLOOKUP(A737,MAQUINAS!$A$3:$A$55,MAQUINAS!$B$3:$B$55,"No encontrada"))</f>
        <v/>
      </c>
      <c r="C737" s="5"/>
      <c r="D737" s="5"/>
      <c r="E737" s="4" t="str">
        <f t="shared" si="11"/>
        <v/>
      </c>
      <c r="O737" s="12"/>
    </row>
    <row r="738" spans="2:15" x14ac:dyDescent="0.25">
      <c r="B738" t="str">
        <f>IF(A738="","",_xlfn.XLOOKUP(A738,MAQUINAS!$A$3:$A$55,MAQUINAS!$B$3:$B$55,"No encontrada"))</f>
        <v/>
      </c>
      <c r="C738" s="5"/>
      <c r="D738" s="5"/>
      <c r="E738" s="4" t="str">
        <f t="shared" si="11"/>
        <v/>
      </c>
      <c r="O738" s="12"/>
    </row>
    <row r="739" spans="2:15" x14ac:dyDescent="0.25">
      <c r="B739" t="str">
        <f>IF(A739="","",_xlfn.XLOOKUP(A739,MAQUINAS!$A$3:$A$55,MAQUINAS!$B$3:$B$55,"No encontrada"))</f>
        <v/>
      </c>
      <c r="C739" s="5"/>
      <c r="D739" s="5"/>
      <c r="E739" s="4" t="str">
        <f t="shared" si="11"/>
        <v/>
      </c>
      <c r="O739" s="12"/>
    </row>
    <row r="740" spans="2:15" x14ac:dyDescent="0.25">
      <c r="B740" t="str">
        <f>IF(A740="","",_xlfn.XLOOKUP(A740,MAQUINAS!$A$3:$A$55,MAQUINAS!$B$3:$B$55,"No encontrada"))</f>
        <v/>
      </c>
      <c r="C740" s="5"/>
      <c r="D740" s="5"/>
      <c r="E740" s="4" t="str">
        <f t="shared" si="11"/>
        <v/>
      </c>
      <c r="O740" s="12"/>
    </row>
    <row r="741" spans="2:15" x14ac:dyDescent="0.25">
      <c r="B741" t="str">
        <f>IF(A741="","",_xlfn.XLOOKUP(A741,MAQUINAS!$A$3:$A$55,MAQUINAS!$B$3:$B$55,"No encontrada"))</f>
        <v/>
      </c>
      <c r="C741" s="5"/>
      <c r="D741" s="5"/>
      <c r="E741" s="4" t="str">
        <f t="shared" si="11"/>
        <v/>
      </c>
      <c r="O741" s="12"/>
    </row>
    <row r="742" spans="2:15" x14ac:dyDescent="0.25">
      <c r="B742" t="str">
        <f>IF(A742="","",_xlfn.XLOOKUP(A742,MAQUINAS!$A$3:$A$55,MAQUINAS!$B$3:$B$55,"No encontrada"))</f>
        <v/>
      </c>
      <c r="C742" s="5"/>
      <c r="D742" s="5"/>
      <c r="E742" s="4" t="str">
        <f t="shared" si="11"/>
        <v/>
      </c>
      <c r="O742" s="12"/>
    </row>
    <row r="743" spans="2:15" x14ac:dyDescent="0.25">
      <c r="B743" t="str">
        <f>IF(A743="","",_xlfn.XLOOKUP(A743,MAQUINAS!$A$3:$A$55,MAQUINAS!$B$3:$B$55,"No encontrada"))</f>
        <v/>
      </c>
      <c r="C743" s="5"/>
      <c r="D743" s="5"/>
      <c r="E743" s="4" t="str">
        <f t="shared" si="11"/>
        <v/>
      </c>
      <c r="O743" s="12"/>
    </row>
    <row r="744" spans="2:15" x14ac:dyDescent="0.25">
      <c r="B744" t="str">
        <f>IF(A744="","",_xlfn.XLOOKUP(A744,MAQUINAS!$A$3:$A$55,MAQUINAS!$B$3:$B$55,"No encontrada"))</f>
        <v/>
      </c>
      <c r="C744" s="5"/>
      <c r="D744" s="5"/>
      <c r="E744" s="4" t="str">
        <f t="shared" si="11"/>
        <v/>
      </c>
      <c r="O744" s="12"/>
    </row>
    <row r="745" spans="2:15" x14ac:dyDescent="0.25">
      <c r="B745" t="str">
        <f>IF(A745="","",_xlfn.XLOOKUP(A745,MAQUINAS!$A$3:$A$55,MAQUINAS!$B$3:$B$55,"No encontrada"))</f>
        <v/>
      </c>
      <c r="C745" s="5"/>
      <c r="D745" s="5"/>
      <c r="E745" s="4" t="str">
        <f t="shared" si="11"/>
        <v/>
      </c>
      <c r="O745" s="12"/>
    </row>
    <row r="746" spans="2:15" x14ac:dyDescent="0.25">
      <c r="B746" t="str">
        <f>IF(A746="","",_xlfn.XLOOKUP(A746,MAQUINAS!$A$3:$A$55,MAQUINAS!$B$3:$B$55,"No encontrada"))</f>
        <v/>
      </c>
      <c r="C746" s="5"/>
      <c r="D746" s="5"/>
      <c r="E746" s="4" t="str">
        <f t="shared" si="11"/>
        <v/>
      </c>
      <c r="O746" s="12"/>
    </row>
    <row r="747" spans="2:15" x14ac:dyDescent="0.25">
      <c r="B747" t="str">
        <f>IF(A747="","",_xlfn.XLOOKUP(A747,MAQUINAS!$A$3:$A$55,MAQUINAS!$B$3:$B$55,"No encontrada"))</f>
        <v/>
      </c>
      <c r="C747" s="5"/>
      <c r="D747" s="5"/>
      <c r="E747" s="4" t="str">
        <f t="shared" si="11"/>
        <v/>
      </c>
      <c r="O747" s="12"/>
    </row>
    <row r="748" spans="2:15" x14ac:dyDescent="0.25">
      <c r="B748" t="str">
        <f>IF(A748="","",_xlfn.XLOOKUP(A748,MAQUINAS!$A$3:$A$55,MAQUINAS!$B$3:$B$55,"No encontrada"))</f>
        <v/>
      </c>
      <c r="C748" s="5"/>
      <c r="D748" s="5"/>
      <c r="E748" s="4" t="str">
        <f t="shared" si="11"/>
        <v/>
      </c>
      <c r="O748" s="12"/>
    </row>
    <row r="749" spans="2:15" x14ac:dyDescent="0.25">
      <c r="B749" t="str">
        <f>IF(A749="","",_xlfn.XLOOKUP(A749,MAQUINAS!$A$3:$A$55,MAQUINAS!$B$3:$B$55,"No encontrada"))</f>
        <v/>
      </c>
      <c r="C749" s="5"/>
      <c r="D749" s="5"/>
      <c r="E749" s="4" t="str">
        <f t="shared" si="11"/>
        <v/>
      </c>
      <c r="O749" s="12"/>
    </row>
    <row r="750" spans="2:15" x14ac:dyDescent="0.25">
      <c r="B750" t="str">
        <f>IF(A750="","",_xlfn.XLOOKUP(A750,MAQUINAS!$A$3:$A$55,MAQUINAS!$B$3:$B$55,"No encontrada"))</f>
        <v/>
      </c>
      <c r="C750" s="5"/>
      <c r="D750" s="5"/>
      <c r="E750" s="4" t="str">
        <f t="shared" si="11"/>
        <v/>
      </c>
      <c r="O750" s="12"/>
    </row>
    <row r="751" spans="2:15" x14ac:dyDescent="0.25">
      <c r="B751" t="str">
        <f>IF(A751="","",_xlfn.XLOOKUP(A751,MAQUINAS!$A$3:$A$55,MAQUINAS!$B$3:$B$55,"No encontrada"))</f>
        <v/>
      </c>
      <c r="C751" s="5"/>
      <c r="D751" s="5"/>
      <c r="E751" s="4" t="str">
        <f t="shared" si="11"/>
        <v/>
      </c>
      <c r="O751" s="12"/>
    </row>
    <row r="752" spans="2:15" x14ac:dyDescent="0.25">
      <c r="B752" t="str">
        <f>IF(A752="","",_xlfn.XLOOKUP(A752,MAQUINAS!$A$3:$A$55,MAQUINAS!$B$3:$B$55,"No encontrada"))</f>
        <v/>
      </c>
      <c r="C752" s="5"/>
      <c r="D752" s="5"/>
      <c r="E752" s="4" t="str">
        <f t="shared" si="11"/>
        <v/>
      </c>
      <c r="O752" s="12"/>
    </row>
    <row r="753" spans="2:15" x14ac:dyDescent="0.25">
      <c r="B753" t="str">
        <f>IF(A753="","",_xlfn.XLOOKUP(A753,MAQUINAS!$A$3:$A$55,MAQUINAS!$B$3:$B$55,"No encontrada"))</f>
        <v/>
      </c>
      <c r="C753" s="5"/>
      <c r="D753" s="5"/>
      <c r="E753" s="4" t="str">
        <f t="shared" si="11"/>
        <v/>
      </c>
      <c r="O753" s="12"/>
    </row>
    <row r="754" spans="2:15" x14ac:dyDescent="0.25">
      <c r="B754" t="str">
        <f>IF(A754="","",_xlfn.XLOOKUP(A754,MAQUINAS!$A$3:$A$55,MAQUINAS!$B$3:$B$55,"No encontrada"))</f>
        <v/>
      </c>
      <c r="C754" s="5"/>
      <c r="D754" s="5"/>
      <c r="E754" s="4" t="str">
        <f t="shared" si="11"/>
        <v/>
      </c>
      <c r="O754" s="12"/>
    </row>
    <row r="755" spans="2:15" x14ac:dyDescent="0.25">
      <c r="B755" t="str">
        <f>IF(A755="","",_xlfn.XLOOKUP(A755,MAQUINAS!$A$3:$A$55,MAQUINAS!$B$3:$B$55,"No encontrada"))</f>
        <v/>
      </c>
      <c r="C755" s="5"/>
      <c r="D755" s="5"/>
      <c r="E755" s="4" t="str">
        <f t="shared" si="11"/>
        <v/>
      </c>
      <c r="O755" s="12"/>
    </row>
    <row r="756" spans="2:15" x14ac:dyDescent="0.25">
      <c r="B756" t="str">
        <f>IF(A756="","",_xlfn.XLOOKUP(A756,MAQUINAS!$A$3:$A$55,MAQUINAS!$B$3:$B$55,"No encontrada"))</f>
        <v/>
      </c>
      <c r="C756" s="5"/>
      <c r="D756" s="5"/>
      <c r="E756" s="4" t="str">
        <f t="shared" si="11"/>
        <v/>
      </c>
      <c r="O756" s="12"/>
    </row>
    <row r="757" spans="2:15" x14ac:dyDescent="0.25">
      <c r="B757" t="str">
        <f>IF(A757="","",_xlfn.XLOOKUP(A757,MAQUINAS!$A$3:$A$55,MAQUINAS!$B$3:$B$55,"No encontrada"))</f>
        <v/>
      </c>
      <c r="C757" s="5"/>
      <c r="D757" s="5"/>
      <c r="E757" s="4" t="str">
        <f t="shared" si="11"/>
        <v/>
      </c>
      <c r="O757" s="12"/>
    </row>
    <row r="758" spans="2:15" x14ac:dyDescent="0.25">
      <c r="B758" t="str">
        <f>IF(A758="","",_xlfn.XLOOKUP(A758,MAQUINAS!$A$3:$A$55,MAQUINAS!$B$3:$B$55,"No encontrada"))</f>
        <v/>
      </c>
      <c r="C758" s="5"/>
      <c r="D758" s="5"/>
      <c r="E758" s="4" t="str">
        <f t="shared" si="11"/>
        <v/>
      </c>
      <c r="O758" s="12"/>
    </row>
    <row r="759" spans="2:15" x14ac:dyDescent="0.25">
      <c r="B759" t="str">
        <f>IF(A759="","",_xlfn.XLOOKUP(A759,MAQUINAS!$A$3:$A$55,MAQUINAS!$B$3:$B$55,"No encontrada"))</f>
        <v/>
      </c>
      <c r="C759" s="5"/>
      <c r="D759" s="5"/>
      <c r="E759" s="4" t="str">
        <f t="shared" si="11"/>
        <v/>
      </c>
      <c r="O759" s="12"/>
    </row>
    <row r="760" spans="2:15" x14ac:dyDescent="0.25">
      <c r="B760" t="str">
        <f>IF(A760="","",_xlfn.XLOOKUP(A760,MAQUINAS!$A$3:$A$55,MAQUINAS!$B$3:$B$55,"No encontrada"))</f>
        <v/>
      </c>
      <c r="C760" s="5"/>
      <c r="D760" s="5"/>
      <c r="E760" s="4" t="str">
        <f t="shared" si="11"/>
        <v/>
      </c>
      <c r="O760" s="12"/>
    </row>
    <row r="761" spans="2:15" x14ac:dyDescent="0.25">
      <c r="B761" t="str">
        <f>IF(A761="","",_xlfn.XLOOKUP(A761,MAQUINAS!$A$3:$A$55,MAQUINAS!$B$3:$B$55,"No encontrada"))</f>
        <v/>
      </c>
      <c r="C761" s="5"/>
      <c r="D761" s="5"/>
      <c r="E761" s="4" t="str">
        <f t="shared" si="11"/>
        <v/>
      </c>
      <c r="O761" s="12"/>
    </row>
    <row r="762" spans="2:15" x14ac:dyDescent="0.25">
      <c r="B762" t="str">
        <f>IF(A762="","",_xlfn.XLOOKUP(A762,MAQUINAS!$A$3:$A$55,MAQUINAS!$B$3:$B$55,"No encontrada"))</f>
        <v/>
      </c>
      <c r="C762" s="5"/>
      <c r="D762" s="5"/>
      <c r="E762" s="4" t="str">
        <f t="shared" si="11"/>
        <v/>
      </c>
      <c r="O762" s="12"/>
    </row>
    <row r="763" spans="2:15" x14ac:dyDescent="0.25">
      <c r="B763" t="str">
        <f>IF(A763="","",_xlfn.XLOOKUP(A763,MAQUINAS!$A$3:$A$55,MAQUINAS!$B$3:$B$55,"No encontrada"))</f>
        <v/>
      </c>
      <c r="C763" s="5"/>
      <c r="D763" s="5"/>
      <c r="E763" s="4" t="str">
        <f t="shared" si="11"/>
        <v/>
      </c>
      <c r="O763" s="12"/>
    </row>
    <row r="764" spans="2:15" x14ac:dyDescent="0.25">
      <c r="B764" t="str">
        <f>IF(A764="","",_xlfn.XLOOKUP(A764,MAQUINAS!$A$3:$A$55,MAQUINAS!$B$3:$B$55,"No encontrada"))</f>
        <v/>
      </c>
      <c r="C764" s="5"/>
      <c r="D764" s="5"/>
      <c r="E764" s="4" t="str">
        <f t="shared" si="11"/>
        <v/>
      </c>
      <c r="O764" s="12"/>
    </row>
    <row r="765" spans="2:15" x14ac:dyDescent="0.25">
      <c r="B765" t="str">
        <f>IF(A765="","",_xlfn.XLOOKUP(A765,MAQUINAS!$A$3:$A$55,MAQUINAS!$B$3:$B$55,"No encontrada"))</f>
        <v/>
      </c>
      <c r="C765" s="5"/>
      <c r="D765" s="5"/>
      <c r="E765" s="4" t="str">
        <f t="shared" si="11"/>
        <v/>
      </c>
      <c r="O765" s="12"/>
    </row>
    <row r="766" spans="2:15" x14ac:dyDescent="0.25">
      <c r="B766" t="str">
        <f>IF(A766="","",_xlfn.XLOOKUP(A766,MAQUINAS!$A$3:$A$55,MAQUINAS!$B$3:$B$55,"No encontrada"))</f>
        <v/>
      </c>
      <c r="C766" s="5"/>
      <c r="D766" s="5"/>
      <c r="E766" s="4" t="str">
        <f t="shared" si="11"/>
        <v/>
      </c>
      <c r="O766" s="12"/>
    </row>
    <row r="767" spans="2:15" x14ac:dyDescent="0.25">
      <c r="B767" t="str">
        <f>IF(A767="","",_xlfn.XLOOKUP(A767,MAQUINAS!$A$3:$A$55,MAQUINAS!$B$3:$B$55,"No encontrada"))</f>
        <v/>
      </c>
      <c r="C767" s="5"/>
      <c r="D767" s="5"/>
      <c r="E767" s="4" t="str">
        <f t="shared" si="11"/>
        <v/>
      </c>
      <c r="O767" s="12"/>
    </row>
    <row r="768" spans="2:15" x14ac:dyDescent="0.25">
      <c r="B768" t="str">
        <f>IF(A768="","",_xlfn.XLOOKUP(A768,MAQUINAS!$A$3:$A$55,MAQUINAS!$B$3:$B$55,"No encontrada"))</f>
        <v/>
      </c>
      <c r="C768" s="5"/>
      <c r="D768" s="5"/>
      <c r="E768" s="4" t="str">
        <f t="shared" si="11"/>
        <v/>
      </c>
      <c r="O768" s="12"/>
    </row>
    <row r="769" spans="2:15" x14ac:dyDescent="0.25">
      <c r="B769" t="str">
        <f>IF(A769="","",_xlfn.XLOOKUP(A769,MAQUINAS!$A$3:$A$55,MAQUINAS!$B$3:$B$55,"No encontrada"))</f>
        <v/>
      </c>
      <c r="C769" s="5"/>
      <c r="D769" s="5"/>
      <c r="E769" s="4" t="str">
        <f t="shared" si="11"/>
        <v/>
      </c>
      <c r="O769" s="12"/>
    </row>
    <row r="770" spans="2:15" x14ac:dyDescent="0.25">
      <c r="B770" t="str">
        <f>IF(A770="","",_xlfn.XLOOKUP(A770,MAQUINAS!$A$3:$A$55,MAQUINAS!$B$3:$B$55,"No encontrada"))</f>
        <v/>
      </c>
      <c r="C770" s="5"/>
      <c r="D770" s="5"/>
      <c r="E770" s="4" t="str">
        <f t="shared" si="11"/>
        <v/>
      </c>
      <c r="O770" s="12"/>
    </row>
    <row r="771" spans="2:15" x14ac:dyDescent="0.25">
      <c r="B771" t="str">
        <f>IF(A771="","",_xlfn.XLOOKUP(A771,MAQUINAS!$A$3:$A$55,MAQUINAS!$B$3:$B$55,"No encontrada"))</f>
        <v/>
      </c>
      <c r="C771" s="5"/>
      <c r="D771" s="5"/>
      <c r="E771" s="4" t="str">
        <f t="shared" ref="E771:E834" si="12">IF(OR(C771="",D771=""),"",MOD(D771-C771,1))</f>
        <v/>
      </c>
      <c r="O771" s="12"/>
    </row>
    <row r="772" spans="2:15" x14ac:dyDescent="0.25">
      <c r="B772" t="str">
        <f>IF(A772="","",_xlfn.XLOOKUP(A772,MAQUINAS!$A$3:$A$55,MAQUINAS!$B$3:$B$55,"No encontrada"))</f>
        <v/>
      </c>
      <c r="C772" s="5"/>
      <c r="D772" s="5"/>
      <c r="E772" s="4" t="str">
        <f t="shared" si="12"/>
        <v/>
      </c>
      <c r="O772" s="12"/>
    </row>
    <row r="773" spans="2:15" x14ac:dyDescent="0.25">
      <c r="B773" t="str">
        <f>IF(A773="","",_xlfn.XLOOKUP(A773,MAQUINAS!$A$3:$A$55,MAQUINAS!$B$3:$B$55,"No encontrada"))</f>
        <v/>
      </c>
      <c r="C773" s="5"/>
      <c r="D773" s="5"/>
      <c r="E773" s="4" t="str">
        <f t="shared" si="12"/>
        <v/>
      </c>
      <c r="O773" s="12"/>
    </row>
    <row r="774" spans="2:15" x14ac:dyDescent="0.25">
      <c r="B774" t="str">
        <f>IF(A774="","",_xlfn.XLOOKUP(A774,MAQUINAS!$A$3:$A$55,MAQUINAS!$B$3:$B$55,"No encontrada"))</f>
        <v/>
      </c>
      <c r="C774" s="5"/>
      <c r="D774" s="5"/>
      <c r="E774" s="4" t="str">
        <f t="shared" si="12"/>
        <v/>
      </c>
      <c r="O774" s="12"/>
    </row>
    <row r="775" spans="2:15" x14ac:dyDescent="0.25">
      <c r="B775" t="str">
        <f>IF(A775="","",_xlfn.XLOOKUP(A775,MAQUINAS!$A$3:$A$55,MAQUINAS!$B$3:$B$55,"No encontrada"))</f>
        <v/>
      </c>
      <c r="C775" s="5"/>
      <c r="D775" s="5"/>
      <c r="E775" s="4" t="str">
        <f t="shared" si="12"/>
        <v/>
      </c>
      <c r="O775" s="12"/>
    </row>
    <row r="776" spans="2:15" x14ac:dyDescent="0.25">
      <c r="B776" t="str">
        <f>IF(A776="","",_xlfn.XLOOKUP(A776,MAQUINAS!$A$3:$A$55,MAQUINAS!$B$3:$B$55,"No encontrada"))</f>
        <v/>
      </c>
      <c r="C776" s="5"/>
      <c r="D776" s="5"/>
      <c r="E776" s="4" t="str">
        <f t="shared" si="12"/>
        <v/>
      </c>
      <c r="O776" s="12"/>
    </row>
    <row r="777" spans="2:15" x14ac:dyDescent="0.25">
      <c r="B777" t="str">
        <f>IF(A777="","",_xlfn.XLOOKUP(A777,MAQUINAS!$A$3:$A$55,MAQUINAS!$B$3:$B$55,"No encontrada"))</f>
        <v/>
      </c>
      <c r="C777" s="5"/>
      <c r="D777" s="5"/>
      <c r="E777" s="4" t="str">
        <f t="shared" si="12"/>
        <v/>
      </c>
      <c r="O777" s="12"/>
    </row>
    <row r="778" spans="2:15" x14ac:dyDescent="0.25">
      <c r="B778" t="str">
        <f>IF(A778="","",_xlfn.XLOOKUP(A778,MAQUINAS!$A$3:$A$55,MAQUINAS!$B$3:$B$55,"No encontrada"))</f>
        <v/>
      </c>
      <c r="C778" s="5"/>
      <c r="D778" s="5"/>
      <c r="E778" s="4" t="str">
        <f t="shared" si="12"/>
        <v/>
      </c>
      <c r="O778" s="12"/>
    </row>
    <row r="779" spans="2:15" x14ac:dyDescent="0.25">
      <c r="B779" t="str">
        <f>IF(A779="","",_xlfn.XLOOKUP(A779,MAQUINAS!$A$3:$A$55,MAQUINAS!$B$3:$B$55,"No encontrada"))</f>
        <v/>
      </c>
      <c r="C779" s="5"/>
      <c r="D779" s="5"/>
      <c r="E779" s="4" t="str">
        <f t="shared" si="12"/>
        <v/>
      </c>
      <c r="O779" s="12"/>
    </row>
    <row r="780" spans="2:15" x14ac:dyDescent="0.25">
      <c r="B780" t="str">
        <f>IF(A780="","",_xlfn.XLOOKUP(A780,MAQUINAS!$A$3:$A$55,MAQUINAS!$B$3:$B$55,"No encontrada"))</f>
        <v/>
      </c>
      <c r="C780" s="5"/>
      <c r="D780" s="5"/>
      <c r="E780" s="4" t="str">
        <f t="shared" si="12"/>
        <v/>
      </c>
      <c r="O780" s="12"/>
    </row>
    <row r="781" spans="2:15" x14ac:dyDescent="0.25">
      <c r="B781" t="str">
        <f>IF(A781="","",_xlfn.XLOOKUP(A781,MAQUINAS!$A$3:$A$55,MAQUINAS!$B$3:$B$55,"No encontrada"))</f>
        <v/>
      </c>
      <c r="C781" s="5"/>
      <c r="D781" s="5"/>
      <c r="E781" s="4" t="str">
        <f t="shared" si="12"/>
        <v/>
      </c>
      <c r="O781" s="12"/>
    </row>
    <row r="782" spans="2:15" x14ac:dyDescent="0.25">
      <c r="B782" t="str">
        <f>IF(A782="","",_xlfn.XLOOKUP(A782,MAQUINAS!$A$3:$A$55,MAQUINAS!$B$3:$B$55,"No encontrada"))</f>
        <v/>
      </c>
      <c r="C782" s="5"/>
      <c r="D782" s="5"/>
      <c r="E782" s="4" t="str">
        <f t="shared" si="12"/>
        <v/>
      </c>
      <c r="O782" s="12"/>
    </row>
    <row r="783" spans="2:15" x14ac:dyDescent="0.25">
      <c r="B783" t="str">
        <f>IF(A783="","",_xlfn.XLOOKUP(A783,MAQUINAS!$A$3:$A$55,MAQUINAS!$B$3:$B$55,"No encontrada"))</f>
        <v/>
      </c>
      <c r="C783" s="5"/>
      <c r="D783" s="5"/>
      <c r="E783" s="4" t="str">
        <f t="shared" si="12"/>
        <v/>
      </c>
      <c r="O783" s="12"/>
    </row>
    <row r="784" spans="2:15" x14ac:dyDescent="0.25">
      <c r="B784" t="str">
        <f>IF(A784="","",_xlfn.XLOOKUP(A784,MAQUINAS!$A$3:$A$55,MAQUINAS!$B$3:$B$55,"No encontrada"))</f>
        <v/>
      </c>
      <c r="C784" s="5"/>
      <c r="D784" s="5"/>
      <c r="E784" s="4" t="str">
        <f t="shared" si="12"/>
        <v/>
      </c>
      <c r="O784" s="12"/>
    </row>
    <row r="785" spans="2:15" x14ac:dyDescent="0.25">
      <c r="B785" t="str">
        <f>IF(A785="","",_xlfn.XLOOKUP(A785,MAQUINAS!$A$3:$A$55,MAQUINAS!$B$3:$B$55,"No encontrada"))</f>
        <v/>
      </c>
      <c r="C785" s="5"/>
      <c r="D785" s="5"/>
      <c r="E785" s="4" t="str">
        <f t="shared" si="12"/>
        <v/>
      </c>
      <c r="O785" s="12"/>
    </row>
    <row r="786" spans="2:15" x14ac:dyDescent="0.25">
      <c r="B786" t="str">
        <f>IF(A786="","",_xlfn.XLOOKUP(A786,MAQUINAS!$A$3:$A$55,MAQUINAS!$B$3:$B$55,"No encontrada"))</f>
        <v/>
      </c>
      <c r="C786" s="5"/>
      <c r="D786" s="5"/>
      <c r="E786" s="4" t="str">
        <f t="shared" si="12"/>
        <v/>
      </c>
      <c r="O786" s="12"/>
    </row>
    <row r="787" spans="2:15" x14ac:dyDescent="0.25">
      <c r="B787" t="str">
        <f>IF(A787="","",_xlfn.XLOOKUP(A787,MAQUINAS!$A$3:$A$55,MAQUINAS!$B$3:$B$55,"No encontrada"))</f>
        <v/>
      </c>
      <c r="C787" s="5"/>
      <c r="D787" s="5"/>
      <c r="E787" s="4" t="str">
        <f t="shared" si="12"/>
        <v/>
      </c>
      <c r="O787" s="12"/>
    </row>
    <row r="788" spans="2:15" x14ac:dyDescent="0.25">
      <c r="B788" t="str">
        <f>IF(A788="","",_xlfn.XLOOKUP(A788,MAQUINAS!$A$3:$A$55,MAQUINAS!$B$3:$B$55,"No encontrada"))</f>
        <v/>
      </c>
      <c r="C788" s="5"/>
      <c r="D788" s="5"/>
      <c r="E788" s="4" t="str">
        <f t="shared" si="12"/>
        <v/>
      </c>
      <c r="O788" s="12"/>
    </row>
    <row r="789" spans="2:15" x14ac:dyDescent="0.25">
      <c r="B789" t="str">
        <f>IF(A789="","",_xlfn.XLOOKUP(A789,MAQUINAS!$A$3:$A$55,MAQUINAS!$B$3:$B$55,"No encontrada"))</f>
        <v/>
      </c>
      <c r="C789" s="5"/>
      <c r="D789" s="5"/>
      <c r="E789" s="4" t="str">
        <f t="shared" si="12"/>
        <v/>
      </c>
      <c r="O789" s="12"/>
    </row>
    <row r="790" spans="2:15" x14ac:dyDescent="0.25">
      <c r="B790" t="str">
        <f>IF(A790="","",_xlfn.XLOOKUP(A790,MAQUINAS!$A$3:$A$55,MAQUINAS!$B$3:$B$55,"No encontrada"))</f>
        <v/>
      </c>
      <c r="C790" s="5"/>
      <c r="D790" s="5"/>
      <c r="E790" s="4" t="str">
        <f t="shared" si="12"/>
        <v/>
      </c>
      <c r="O790" s="12"/>
    </row>
    <row r="791" spans="2:15" x14ac:dyDescent="0.25">
      <c r="B791" t="str">
        <f>IF(A791="","",_xlfn.XLOOKUP(A791,MAQUINAS!$A$3:$A$55,MAQUINAS!$B$3:$B$55,"No encontrada"))</f>
        <v/>
      </c>
      <c r="C791" s="5"/>
      <c r="D791" s="5"/>
      <c r="E791" s="4" t="str">
        <f t="shared" si="12"/>
        <v/>
      </c>
      <c r="O791" s="12"/>
    </row>
    <row r="792" spans="2:15" x14ac:dyDescent="0.25">
      <c r="B792" t="str">
        <f>IF(A792="","",_xlfn.XLOOKUP(A792,MAQUINAS!$A$3:$A$55,MAQUINAS!$B$3:$B$55,"No encontrada"))</f>
        <v/>
      </c>
      <c r="C792" s="5"/>
      <c r="D792" s="5"/>
      <c r="E792" s="4" t="str">
        <f t="shared" si="12"/>
        <v/>
      </c>
      <c r="O792" s="12"/>
    </row>
    <row r="793" spans="2:15" x14ac:dyDescent="0.25">
      <c r="B793" t="str">
        <f>IF(A793="","",_xlfn.XLOOKUP(A793,MAQUINAS!$A$3:$A$55,MAQUINAS!$B$3:$B$55,"No encontrada"))</f>
        <v/>
      </c>
      <c r="C793" s="5"/>
      <c r="D793" s="5"/>
      <c r="E793" s="4" t="str">
        <f t="shared" si="12"/>
        <v/>
      </c>
      <c r="O793" s="12"/>
    </row>
    <row r="794" spans="2:15" x14ac:dyDescent="0.25">
      <c r="B794" t="str">
        <f>IF(A794="","",_xlfn.XLOOKUP(A794,MAQUINAS!$A$3:$A$55,MAQUINAS!$B$3:$B$55,"No encontrada"))</f>
        <v/>
      </c>
      <c r="C794" s="5"/>
      <c r="D794" s="5"/>
      <c r="E794" s="4" t="str">
        <f t="shared" si="12"/>
        <v/>
      </c>
      <c r="O794" s="12"/>
    </row>
    <row r="795" spans="2:15" x14ac:dyDescent="0.25">
      <c r="B795" t="str">
        <f>IF(A795="","",_xlfn.XLOOKUP(A795,MAQUINAS!$A$3:$A$55,MAQUINAS!$B$3:$B$55,"No encontrada"))</f>
        <v/>
      </c>
      <c r="C795" s="5"/>
      <c r="D795" s="5"/>
      <c r="E795" s="4" t="str">
        <f t="shared" si="12"/>
        <v/>
      </c>
      <c r="O795" s="12"/>
    </row>
    <row r="796" spans="2:15" x14ac:dyDescent="0.25">
      <c r="B796" t="str">
        <f>IF(A796="","",_xlfn.XLOOKUP(A796,MAQUINAS!$A$3:$A$55,MAQUINAS!$B$3:$B$55,"No encontrada"))</f>
        <v/>
      </c>
      <c r="C796" s="5"/>
      <c r="D796" s="5"/>
      <c r="E796" s="4" t="str">
        <f t="shared" si="12"/>
        <v/>
      </c>
      <c r="O796" s="12"/>
    </row>
    <row r="797" spans="2:15" x14ac:dyDescent="0.25">
      <c r="B797" t="str">
        <f>IF(A797="","",_xlfn.XLOOKUP(A797,MAQUINAS!$A$3:$A$55,MAQUINAS!$B$3:$B$55,"No encontrada"))</f>
        <v/>
      </c>
      <c r="C797" s="5"/>
      <c r="D797" s="5"/>
      <c r="E797" s="4" t="str">
        <f t="shared" si="12"/>
        <v/>
      </c>
      <c r="O797" s="12"/>
    </row>
    <row r="798" spans="2:15" x14ac:dyDescent="0.25">
      <c r="B798" t="str">
        <f>IF(A798="","",_xlfn.XLOOKUP(A798,MAQUINAS!$A$3:$A$55,MAQUINAS!$B$3:$B$55,"No encontrada"))</f>
        <v/>
      </c>
      <c r="C798" s="5"/>
      <c r="D798" s="5"/>
      <c r="E798" s="4" t="str">
        <f t="shared" si="12"/>
        <v/>
      </c>
      <c r="O798" s="12"/>
    </row>
    <row r="799" spans="2:15" x14ac:dyDescent="0.25">
      <c r="B799" t="str">
        <f>IF(A799="","",_xlfn.XLOOKUP(A799,MAQUINAS!$A$3:$A$55,MAQUINAS!$B$3:$B$55,"No encontrada"))</f>
        <v/>
      </c>
      <c r="C799" s="5"/>
      <c r="D799" s="5"/>
      <c r="E799" s="4" t="str">
        <f t="shared" si="12"/>
        <v/>
      </c>
      <c r="O799" s="12"/>
    </row>
    <row r="800" spans="2:15" x14ac:dyDescent="0.25">
      <c r="B800" t="str">
        <f>IF(A800="","",_xlfn.XLOOKUP(A800,MAQUINAS!$A$3:$A$55,MAQUINAS!$B$3:$B$55,"No encontrada"))</f>
        <v/>
      </c>
      <c r="C800" s="5"/>
      <c r="D800" s="5"/>
      <c r="E800" s="4" t="str">
        <f t="shared" si="12"/>
        <v/>
      </c>
      <c r="O800" s="12"/>
    </row>
    <row r="801" spans="2:15" x14ac:dyDescent="0.25">
      <c r="B801" t="str">
        <f>IF(A801="","",_xlfn.XLOOKUP(A801,MAQUINAS!$A$3:$A$55,MAQUINAS!$B$3:$B$55,"No encontrada"))</f>
        <v/>
      </c>
      <c r="C801" s="5"/>
      <c r="D801" s="5"/>
      <c r="E801" s="4" t="str">
        <f t="shared" si="12"/>
        <v/>
      </c>
      <c r="O801" s="12"/>
    </row>
    <row r="802" spans="2:15" x14ac:dyDescent="0.25">
      <c r="B802" t="str">
        <f>IF(A802="","",_xlfn.XLOOKUP(A802,MAQUINAS!$A$3:$A$55,MAQUINAS!$B$3:$B$55,"No encontrada"))</f>
        <v/>
      </c>
      <c r="C802" s="5"/>
      <c r="D802" s="5"/>
      <c r="E802" s="4" t="str">
        <f t="shared" si="12"/>
        <v/>
      </c>
      <c r="O802" s="12"/>
    </row>
    <row r="803" spans="2:15" x14ac:dyDescent="0.25">
      <c r="B803" t="str">
        <f>IF(A803="","",_xlfn.XLOOKUP(A803,MAQUINAS!$A$3:$A$55,MAQUINAS!$B$3:$B$55,"No encontrada"))</f>
        <v/>
      </c>
      <c r="C803" s="5"/>
      <c r="D803" s="5"/>
      <c r="E803" s="4" t="str">
        <f t="shared" si="12"/>
        <v/>
      </c>
      <c r="O803" s="12"/>
    </row>
    <row r="804" spans="2:15" x14ac:dyDescent="0.25">
      <c r="B804" t="str">
        <f>IF(A804="","",_xlfn.XLOOKUP(A804,MAQUINAS!$A$3:$A$55,MAQUINAS!$B$3:$B$55,"No encontrada"))</f>
        <v/>
      </c>
      <c r="C804" s="5"/>
      <c r="D804" s="5"/>
      <c r="E804" s="4" t="str">
        <f t="shared" si="12"/>
        <v/>
      </c>
      <c r="O804" s="12"/>
    </row>
    <row r="805" spans="2:15" x14ac:dyDescent="0.25">
      <c r="B805" t="str">
        <f>IF(A805="","",_xlfn.XLOOKUP(A805,MAQUINAS!$A$3:$A$55,MAQUINAS!$B$3:$B$55,"No encontrada"))</f>
        <v/>
      </c>
      <c r="C805" s="5"/>
      <c r="D805" s="5"/>
      <c r="E805" s="4" t="str">
        <f t="shared" si="12"/>
        <v/>
      </c>
      <c r="O805" s="12"/>
    </row>
    <row r="806" spans="2:15" x14ac:dyDescent="0.25">
      <c r="B806" t="str">
        <f>IF(A806="","",_xlfn.XLOOKUP(A806,MAQUINAS!$A$3:$A$55,MAQUINAS!$B$3:$B$55,"No encontrada"))</f>
        <v/>
      </c>
      <c r="C806" s="5"/>
      <c r="D806" s="5"/>
      <c r="E806" s="4" t="str">
        <f t="shared" si="12"/>
        <v/>
      </c>
      <c r="O806" s="12"/>
    </row>
    <row r="807" spans="2:15" x14ac:dyDescent="0.25">
      <c r="B807" t="str">
        <f>IF(A807="","",_xlfn.XLOOKUP(A807,MAQUINAS!$A$3:$A$55,MAQUINAS!$B$3:$B$55,"No encontrada"))</f>
        <v/>
      </c>
      <c r="C807" s="5"/>
      <c r="D807" s="5"/>
      <c r="E807" s="4" t="str">
        <f t="shared" si="12"/>
        <v/>
      </c>
      <c r="O807" s="12"/>
    </row>
    <row r="808" spans="2:15" x14ac:dyDescent="0.25">
      <c r="B808" t="str">
        <f>IF(A808="","",_xlfn.XLOOKUP(A808,MAQUINAS!$A$3:$A$55,MAQUINAS!$B$3:$B$55,"No encontrada"))</f>
        <v/>
      </c>
      <c r="C808" s="5"/>
      <c r="D808" s="5"/>
      <c r="E808" s="4" t="str">
        <f t="shared" si="12"/>
        <v/>
      </c>
      <c r="O808" s="12"/>
    </row>
    <row r="809" spans="2:15" x14ac:dyDescent="0.25">
      <c r="B809" t="str">
        <f>IF(A809="","",_xlfn.XLOOKUP(A809,MAQUINAS!$A$3:$A$55,MAQUINAS!$B$3:$B$55,"No encontrada"))</f>
        <v/>
      </c>
      <c r="C809" s="5"/>
      <c r="D809" s="5"/>
      <c r="E809" s="4" t="str">
        <f t="shared" si="12"/>
        <v/>
      </c>
      <c r="O809" s="12"/>
    </row>
    <row r="810" spans="2:15" x14ac:dyDescent="0.25">
      <c r="B810" t="str">
        <f>IF(A810="","",_xlfn.XLOOKUP(A810,MAQUINAS!$A$3:$A$55,MAQUINAS!$B$3:$B$55,"No encontrada"))</f>
        <v/>
      </c>
      <c r="C810" s="5"/>
      <c r="D810" s="5"/>
      <c r="E810" s="4" t="str">
        <f t="shared" si="12"/>
        <v/>
      </c>
      <c r="O810" s="12"/>
    </row>
    <row r="811" spans="2:15" x14ac:dyDescent="0.25">
      <c r="B811" t="str">
        <f>IF(A811="","",_xlfn.XLOOKUP(A811,MAQUINAS!$A$3:$A$55,MAQUINAS!$B$3:$B$55,"No encontrada"))</f>
        <v/>
      </c>
      <c r="C811" s="5"/>
      <c r="D811" s="5"/>
      <c r="E811" s="4" t="str">
        <f t="shared" si="12"/>
        <v/>
      </c>
      <c r="O811" s="12"/>
    </row>
    <row r="812" spans="2:15" x14ac:dyDescent="0.25">
      <c r="B812" t="str">
        <f>IF(A812="","",_xlfn.XLOOKUP(A812,MAQUINAS!$A$3:$A$55,MAQUINAS!$B$3:$B$55,"No encontrada"))</f>
        <v/>
      </c>
      <c r="C812" s="5"/>
      <c r="D812" s="5"/>
      <c r="E812" s="4" t="str">
        <f t="shared" si="12"/>
        <v/>
      </c>
      <c r="O812" s="12"/>
    </row>
    <row r="813" spans="2:15" x14ac:dyDescent="0.25">
      <c r="B813" t="str">
        <f>IF(A813="","",_xlfn.XLOOKUP(A813,MAQUINAS!$A$3:$A$55,MAQUINAS!$B$3:$B$55,"No encontrada"))</f>
        <v/>
      </c>
      <c r="C813" s="5"/>
      <c r="D813" s="5"/>
      <c r="E813" s="4" t="str">
        <f t="shared" si="12"/>
        <v/>
      </c>
      <c r="O813" s="12"/>
    </row>
    <row r="814" spans="2:15" x14ac:dyDescent="0.25">
      <c r="B814" t="str">
        <f>IF(A814="","",_xlfn.XLOOKUP(A814,MAQUINAS!$A$3:$A$55,MAQUINAS!$B$3:$B$55,"No encontrada"))</f>
        <v/>
      </c>
      <c r="C814" s="5"/>
      <c r="D814" s="5"/>
      <c r="E814" s="4" t="str">
        <f t="shared" si="12"/>
        <v/>
      </c>
      <c r="O814" s="12"/>
    </row>
    <row r="815" spans="2:15" x14ac:dyDescent="0.25">
      <c r="B815" t="str">
        <f>IF(A815="","",_xlfn.XLOOKUP(A815,MAQUINAS!$A$3:$A$55,MAQUINAS!$B$3:$B$55,"No encontrada"))</f>
        <v/>
      </c>
      <c r="C815" s="5"/>
      <c r="D815" s="5"/>
      <c r="E815" s="4" t="str">
        <f t="shared" si="12"/>
        <v/>
      </c>
      <c r="O815" s="12"/>
    </row>
    <row r="816" spans="2:15" x14ac:dyDescent="0.25">
      <c r="B816" t="str">
        <f>IF(A816="","",_xlfn.XLOOKUP(A816,MAQUINAS!$A$3:$A$55,MAQUINAS!$B$3:$B$55,"No encontrada"))</f>
        <v/>
      </c>
      <c r="C816" s="5"/>
      <c r="D816" s="5"/>
      <c r="E816" s="4" t="str">
        <f t="shared" si="12"/>
        <v/>
      </c>
      <c r="O816" s="12"/>
    </row>
    <row r="817" spans="2:15" x14ac:dyDescent="0.25">
      <c r="B817" t="str">
        <f>IF(A817="","",_xlfn.XLOOKUP(A817,MAQUINAS!$A$3:$A$55,MAQUINAS!$B$3:$B$55,"No encontrada"))</f>
        <v/>
      </c>
      <c r="C817" s="5"/>
      <c r="D817" s="5"/>
      <c r="E817" s="4" t="str">
        <f t="shared" si="12"/>
        <v/>
      </c>
      <c r="O817" s="12"/>
    </row>
    <row r="818" spans="2:15" x14ac:dyDescent="0.25">
      <c r="B818" t="str">
        <f>IF(A818="","",_xlfn.XLOOKUP(A818,MAQUINAS!$A$3:$A$55,MAQUINAS!$B$3:$B$55,"No encontrada"))</f>
        <v/>
      </c>
      <c r="C818" s="5"/>
      <c r="D818" s="5"/>
      <c r="E818" s="4" t="str">
        <f t="shared" si="12"/>
        <v/>
      </c>
      <c r="O818" s="12"/>
    </row>
    <row r="819" spans="2:15" x14ac:dyDescent="0.25">
      <c r="B819" t="str">
        <f>IF(A819="","",_xlfn.XLOOKUP(A819,MAQUINAS!$A$3:$A$55,MAQUINAS!$B$3:$B$55,"No encontrada"))</f>
        <v/>
      </c>
      <c r="C819" s="5"/>
      <c r="D819" s="5"/>
      <c r="E819" s="4" t="str">
        <f t="shared" si="12"/>
        <v/>
      </c>
      <c r="O819" s="12"/>
    </row>
    <row r="820" spans="2:15" x14ac:dyDescent="0.25">
      <c r="B820" t="str">
        <f>IF(A820="","",_xlfn.XLOOKUP(A820,MAQUINAS!$A$3:$A$55,MAQUINAS!$B$3:$B$55,"No encontrada"))</f>
        <v/>
      </c>
      <c r="C820" s="5"/>
      <c r="D820" s="5"/>
      <c r="E820" s="4" t="str">
        <f t="shared" si="12"/>
        <v/>
      </c>
      <c r="O820" s="12"/>
    </row>
    <row r="821" spans="2:15" x14ac:dyDescent="0.25">
      <c r="B821" t="str">
        <f>IF(A821="","",_xlfn.XLOOKUP(A821,MAQUINAS!$A$3:$A$55,MAQUINAS!$B$3:$B$55,"No encontrada"))</f>
        <v/>
      </c>
      <c r="C821" s="5"/>
      <c r="D821" s="5"/>
      <c r="E821" s="4" t="str">
        <f t="shared" si="12"/>
        <v/>
      </c>
      <c r="O821" s="12"/>
    </row>
    <row r="822" spans="2:15" x14ac:dyDescent="0.25">
      <c r="B822" t="str">
        <f>IF(A822="","",_xlfn.XLOOKUP(A822,MAQUINAS!$A$3:$A$55,MAQUINAS!$B$3:$B$55,"No encontrada"))</f>
        <v/>
      </c>
      <c r="C822" s="5"/>
      <c r="D822" s="5"/>
      <c r="E822" s="4" t="str">
        <f t="shared" si="12"/>
        <v/>
      </c>
      <c r="O822" s="12"/>
    </row>
    <row r="823" spans="2:15" x14ac:dyDescent="0.25">
      <c r="B823" t="str">
        <f>IF(A823="","",_xlfn.XLOOKUP(A823,MAQUINAS!$A$3:$A$55,MAQUINAS!$B$3:$B$55,"No encontrada"))</f>
        <v/>
      </c>
      <c r="C823" s="5"/>
      <c r="D823" s="5"/>
      <c r="E823" s="4" t="str">
        <f t="shared" si="12"/>
        <v/>
      </c>
      <c r="O823" s="12"/>
    </row>
    <row r="824" spans="2:15" x14ac:dyDescent="0.25">
      <c r="B824" t="str">
        <f>IF(A824="","",_xlfn.XLOOKUP(A824,MAQUINAS!$A$3:$A$55,MAQUINAS!$B$3:$B$55,"No encontrada"))</f>
        <v/>
      </c>
      <c r="C824" s="5"/>
      <c r="D824" s="5"/>
      <c r="E824" s="4" t="str">
        <f t="shared" si="12"/>
        <v/>
      </c>
      <c r="O824" s="12"/>
    </row>
    <row r="825" spans="2:15" x14ac:dyDescent="0.25">
      <c r="B825" t="str">
        <f>IF(A825="","",_xlfn.XLOOKUP(A825,MAQUINAS!$A$3:$A$55,MAQUINAS!$B$3:$B$55,"No encontrada"))</f>
        <v/>
      </c>
      <c r="C825" s="5"/>
      <c r="D825" s="5"/>
      <c r="E825" s="4" t="str">
        <f t="shared" si="12"/>
        <v/>
      </c>
      <c r="O825" s="12"/>
    </row>
    <row r="826" spans="2:15" x14ac:dyDescent="0.25">
      <c r="B826" t="str">
        <f>IF(A826="","",_xlfn.XLOOKUP(A826,MAQUINAS!$A$3:$A$55,MAQUINAS!$B$3:$B$55,"No encontrada"))</f>
        <v/>
      </c>
      <c r="C826" s="5"/>
      <c r="D826" s="5"/>
      <c r="E826" s="4" t="str">
        <f t="shared" si="12"/>
        <v/>
      </c>
      <c r="O826" s="12"/>
    </row>
    <row r="827" spans="2:15" x14ac:dyDescent="0.25">
      <c r="B827" t="str">
        <f>IF(A827="","",_xlfn.XLOOKUP(A827,MAQUINAS!$A$3:$A$55,MAQUINAS!$B$3:$B$55,"No encontrada"))</f>
        <v/>
      </c>
      <c r="C827" s="5"/>
      <c r="D827" s="5"/>
      <c r="E827" s="4" t="str">
        <f t="shared" si="12"/>
        <v/>
      </c>
      <c r="O827" s="12"/>
    </row>
    <row r="828" spans="2:15" x14ac:dyDescent="0.25">
      <c r="B828" t="str">
        <f>IF(A828="","",_xlfn.XLOOKUP(A828,MAQUINAS!$A$3:$A$55,MAQUINAS!$B$3:$B$55,"No encontrada"))</f>
        <v/>
      </c>
      <c r="C828" s="5"/>
      <c r="D828" s="5"/>
      <c r="E828" s="4" t="str">
        <f t="shared" si="12"/>
        <v/>
      </c>
      <c r="O828" s="12"/>
    </row>
    <row r="829" spans="2:15" x14ac:dyDescent="0.25">
      <c r="B829" t="str">
        <f>IF(A829="","",_xlfn.XLOOKUP(A829,MAQUINAS!$A$3:$A$55,MAQUINAS!$B$3:$B$55,"No encontrada"))</f>
        <v/>
      </c>
      <c r="C829" s="5"/>
      <c r="D829" s="5"/>
      <c r="E829" s="4" t="str">
        <f t="shared" si="12"/>
        <v/>
      </c>
      <c r="O829" s="12"/>
    </row>
    <row r="830" spans="2:15" x14ac:dyDescent="0.25">
      <c r="B830" t="str">
        <f>IF(A830="","",_xlfn.XLOOKUP(A830,MAQUINAS!$A$3:$A$55,MAQUINAS!$B$3:$B$55,"No encontrada"))</f>
        <v/>
      </c>
      <c r="C830" s="5"/>
      <c r="D830" s="5"/>
      <c r="E830" s="4" t="str">
        <f t="shared" si="12"/>
        <v/>
      </c>
      <c r="O830" s="12"/>
    </row>
    <row r="831" spans="2:15" x14ac:dyDescent="0.25">
      <c r="B831" t="str">
        <f>IF(A831="","",_xlfn.XLOOKUP(A831,MAQUINAS!$A$3:$A$55,MAQUINAS!$B$3:$B$55,"No encontrada"))</f>
        <v/>
      </c>
      <c r="C831" s="5"/>
      <c r="D831" s="5"/>
      <c r="E831" s="4" t="str">
        <f t="shared" si="12"/>
        <v/>
      </c>
      <c r="O831" s="12"/>
    </row>
    <row r="832" spans="2:15" x14ac:dyDescent="0.25">
      <c r="B832" t="str">
        <f>IF(A832="","",_xlfn.XLOOKUP(A832,MAQUINAS!$A$3:$A$55,MAQUINAS!$B$3:$B$55,"No encontrada"))</f>
        <v/>
      </c>
      <c r="C832" s="5"/>
      <c r="D832" s="5"/>
      <c r="E832" s="4" t="str">
        <f t="shared" si="12"/>
        <v/>
      </c>
      <c r="O832" s="12"/>
    </row>
    <row r="833" spans="2:15" x14ac:dyDescent="0.25">
      <c r="B833" t="str">
        <f>IF(A833="","",_xlfn.XLOOKUP(A833,MAQUINAS!$A$3:$A$55,MAQUINAS!$B$3:$B$55,"No encontrada"))</f>
        <v/>
      </c>
      <c r="C833" s="5"/>
      <c r="D833" s="5"/>
      <c r="E833" s="4" t="str">
        <f t="shared" si="12"/>
        <v/>
      </c>
      <c r="O833" s="12"/>
    </row>
    <row r="834" spans="2:15" x14ac:dyDescent="0.25">
      <c r="B834" t="str">
        <f>IF(A834="","",_xlfn.XLOOKUP(A834,MAQUINAS!$A$3:$A$55,MAQUINAS!$B$3:$B$55,"No encontrada"))</f>
        <v/>
      </c>
      <c r="C834" s="5"/>
      <c r="D834" s="5"/>
      <c r="E834" s="4" t="str">
        <f t="shared" si="12"/>
        <v/>
      </c>
      <c r="O834" s="12"/>
    </row>
    <row r="835" spans="2:15" x14ac:dyDescent="0.25">
      <c r="B835" t="str">
        <f>IF(A835="","",_xlfn.XLOOKUP(A835,MAQUINAS!$A$3:$A$55,MAQUINAS!$B$3:$B$55,"No encontrada"))</f>
        <v/>
      </c>
      <c r="C835" s="5"/>
      <c r="D835" s="5"/>
      <c r="E835" s="4" t="str">
        <f t="shared" ref="E835:E898" si="13">IF(OR(C835="",D835=""),"",MOD(D835-C835,1))</f>
        <v/>
      </c>
      <c r="O835" s="12"/>
    </row>
    <row r="836" spans="2:15" x14ac:dyDescent="0.25">
      <c r="B836" t="str">
        <f>IF(A836="","",_xlfn.XLOOKUP(A836,MAQUINAS!$A$3:$A$55,MAQUINAS!$B$3:$B$55,"No encontrada"))</f>
        <v/>
      </c>
      <c r="C836" s="5"/>
      <c r="D836" s="5"/>
      <c r="E836" s="4" t="str">
        <f t="shared" si="13"/>
        <v/>
      </c>
      <c r="O836" s="12"/>
    </row>
    <row r="837" spans="2:15" x14ac:dyDescent="0.25">
      <c r="B837" t="str">
        <f>IF(A837="","",_xlfn.XLOOKUP(A837,MAQUINAS!$A$3:$A$55,MAQUINAS!$B$3:$B$55,"No encontrada"))</f>
        <v/>
      </c>
      <c r="C837" s="5"/>
      <c r="D837" s="5"/>
      <c r="E837" s="4" t="str">
        <f t="shared" si="13"/>
        <v/>
      </c>
      <c r="O837" s="12"/>
    </row>
    <row r="838" spans="2:15" x14ac:dyDescent="0.25">
      <c r="B838" t="str">
        <f>IF(A838="","",_xlfn.XLOOKUP(A838,MAQUINAS!$A$3:$A$55,MAQUINAS!$B$3:$B$55,"No encontrada"))</f>
        <v/>
      </c>
      <c r="C838" s="5"/>
      <c r="D838" s="5"/>
      <c r="E838" s="4" t="str">
        <f t="shared" si="13"/>
        <v/>
      </c>
      <c r="O838" s="12"/>
    </row>
    <row r="839" spans="2:15" x14ac:dyDescent="0.25">
      <c r="B839" t="str">
        <f>IF(A839="","",_xlfn.XLOOKUP(A839,MAQUINAS!$A$3:$A$55,MAQUINAS!$B$3:$B$55,"No encontrada"))</f>
        <v/>
      </c>
      <c r="C839" s="5"/>
      <c r="D839" s="5"/>
      <c r="E839" s="4" t="str">
        <f t="shared" si="13"/>
        <v/>
      </c>
      <c r="O839" s="12"/>
    </row>
    <row r="840" spans="2:15" x14ac:dyDescent="0.25">
      <c r="B840" t="str">
        <f>IF(A840="","",_xlfn.XLOOKUP(A840,MAQUINAS!$A$3:$A$55,MAQUINAS!$B$3:$B$55,"No encontrada"))</f>
        <v/>
      </c>
      <c r="C840" s="5"/>
      <c r="D840" s="5"/>
      <c r="E840" s="4" t="str">
        <f t="shared" si="13"/>
        <v/>
      </c>
      <c r="O840" s="12"/>
    </row>
    <row r="841" spans="2:15" x14ac:dyDescent="0.25">
      <c r="B841" t="str">
        <f>IF(A841="","",_xlfn.XLOOKUP(A841,MAQUINAS!$A$3:$A$55,MAQUINAS!$B$3:$B$55,"No encontrada"))</f>
        <v/>
      </c>
      <c r="C841" s="5"/>
      <c r="D841" s="5"/>
      <c r="E841" s="4" t="str">
        <f t="shared" si="13"/>
        <v/>
      </c>
      <c r="O841" s="12"/>
    </row>
    <row r="842" spans="2:15" x14ac:dyDescent="0.25">
      <c r="B842" t="str">
        <f>IF(A842="","",_xlfn.XLOOKUP(A842,MAQUINAS!$A$3:$A$55,MAQUINAS!$B$3:$B$55,"No encontrada"))</f>
        <v/>
      </c>
      <c r="C842" s="5"/>
      <c r="D842" s="5"/>
      <c r="E842" s="4" t="str">
        <f t="shared" si="13"/>
        <v/>
      </c>
      <c r="O842" s="12"/>
    </row>
    <row r="843" spans="2:15" x14ac:dyDescent="0.25">
      <c r="B843" t="str">
        <f>IF(A843="","",_xlfn.XLOOKUP(A843,MAQUINAS!$A$3:$A$55,MAQUINAS!$B$3:$B$55,"No encontrada"))</f>
        <v/>
      </c>
      <c r="C843" s="5"/>
      <c r="D843" s="5"/>
      <c r="E843" s="4" t="str">
        <f t="shared" si="13"/>
        <v/>
      </c>
      <c r="O843" s="12"/>
    </row>
    <row r="844" spans="2:15" x14ac:dyDescent="0.25">
      <c r="B844" t="str">
        <f>IF(A844="","",_xlfn.XLOOKUP(A844,MAQUINAS!$A$3:$A$55,MAQUINAS!$B$3:$B$55,"No encontrada"))</f>
        <v/>
      </c>
      <c r="C844" s="5"/>
      <c r="D844" s="5"/>
      <c r="E844" s="4" t="str">
        <f t="shared" si="13"/>
        <v/>
      </c>
      <c r="O844" s="12"/>
    </row>
    <row r="845" spans="2:15" x14ac:dyDescent="0.25">
      <c r="B845" t="str">
        <f>IF(A845="","",_xlfn.XLOOKUP(A845,MAQUINAS!$A$3:$A$55,MAQUINAS!$B$3:$B$55,"No encontrada"))</f>
        <v/>
      </c>
      <c r="C845" s="5"/>
      <c r="D845" s="5"/>
      <c r="E845" s="4" t="str">
        <f t="shared" si="13"/>
        <v/>
      </c>
      <c r="O845" s="12"/>
    </row>
    <row r="846" spans="2:15" x14ac:dyDescent="0.25">
      <c r="B846" t="str">
        <f>IF(A846="","",_xlfn.XLOOKUP(A846,MAQUINAS!$A$3:$A$55,MAQUINAS!$B$3:$B$55,"No encontrada"))</f>
        <v/>
      </c>
      <c r="C846" s="5"/>
      <c r="D846" s="5"/>
      <c r="E846" s="4" t="str">
        <f t="shared" si="13"/>
        <v/>
      </c>
      <c r="O846" s="12"/>
    </row>
    <row r="847" spans="2:15" x14ac:dyDescent="0.25">
      <c r="B847" t="str">
        <f>IF(A847="","",_xlfn.XLOOKUP(A847,MAQUINAS!$A$3:$A$55,MAQUINAS!$B$3:$B$55,"No encontrada"))</f>
        <v/>
      </c>
      <c r="C847" s="5"/>
      <c r="D847" s="5"/>
      <c r="E847" s="4" t="str">
        <f t="shared" si="13"/>
        <v/>
      </c>
      <c r="O847" s="12"/>
    </row>
    <row r="848" spans="2:15" x14ac:dyDescent="0.25">
      <c r="B848" t="str">
        <f>IF(A848="","",_xlfn.XLOOKUP(A848,MAQUINAS!$A$3:$A$55,MAQUINAS!$B$3:$B$55,"No encontrada"))</f>
        <v/>
      </c>
      <c r="C848" s="5"/>
      <c r="D848" s="5"/>
      <c r="E848" s="4" t="str">
        <f t="shared" si="13"/>
        <v/>
      </c>
      <c r="O848" s="12"/>
    </row>
    <row r="849" spans="2:15" x14ac:dyDescent="0.25">
      <c r="B849" t="str">
        <f>IF(A849="","",_xlfn.XLOOKUP(A849,MAQUINAS!$A$3:$A$55,MAQUINAS!$B$3:$B$55,"No encontrada"))</f>
        <v/>
      </c>
      <c r="C849" s="5"/>
      <c r="D849" s="5"/>
      <c r="E849" s="4" t="str">
        <f t="shared" si="13"/>
        <v/>
      </c>
      <c r="O849" s="12"/>
    </row>
    <row r="850" spans="2:15" x14ac:dyDescent="0.25">
      <c r="B850" t="str">
        <f>IF(A850="","",_xlfn.XLOOKUP(A850,MAQUINAS!$A$3:$A$55,MAQUINAS!$B$3:$B$55,"No encontrada"))</f>
        <v/>
      </c>
      <c r="C850" s="5"/>
      <c r="D850" s="5"/>
      <c r="E850" s="4" t="str">
        <f t="shared" si="13"/>
        <v/>
      </c>
      <c r="O850" s="12"/>
    </row>
    <row r="851" spans="2:15" x14ac:dyDescent="0.25">
      <c r="B851" t="str">
        <f>IF(A851="","",_xlfn.XLOOKUP(A851,MAQUINAS!$A$3:$A$55,MAQUINAS!$B$3:$B$55,"No encontrada"))</f>
        <v/>
      </c>
      <c r="C851" s="5"/>
      <c r="D851" s="5"/>
      <c r="E851" s="4" t="str">
        <f t="shared" si="13"/>
        <v/>
      </c>
      <c r="O851" s="12"/>
    </row>
    <row r="852" spans="2:15" x14ac:dyDescent="0.25">
      <c r="B852" t="str">
        <f>IF(A852="","",_xlfn.XLOOKUP(A852,MAQUINAS!$A$3:$A$55,MAQUINAS!$B$3:$B$55,"No encontrada"))</f>
        <v/>
      </c>
      <c r="C852" s="5"/>
      <c r="D852" s="5"/>
      <c r="E852" s="4" t="str">
        <f t="shared" si="13"/>
        <v/>
      </c>
      <c r="O852" s="12"/>
    </row>
    <row r="853" spans="2:15" x14ac:dyDescent="0.25">
      <c r="B853" t="str">
        <f>IF(A853="","",_xlfn.XLOOKUP(A853,MAQUINAS!$A$3:$A$55,MAQUINAS!$B$3:$B$55,"No encontrada"))</f>
        <v/>
      </c>
      <c r="C853" s="5"/>
      <c r="D853" s="5"/>
      <c r="E853" s="4" t="str">
        <f t="shared" si="13"/>
        <v/>
      </c>
      <c r="O853" s="12"/>
    </row>
    <row r="854" spans="2:15" x14ac:dyDescent="0.25">
      <c r="B854" t="str">
        <f>IF(A854="","",_xlfn.XLOOKUP(A854,MAQUINAS!$A$3:$A$55,MAQUINAS!$B$3:$B$55,"No encontrada"))</f>
        <v/>
      </c>
      <c r="C854" s="5"/>
      <c r="D854" s="5"/>
      <c r="E854" s="4" t="str">
        <f t="shared" si="13"/>
        <v/>
      </c>
      <c r="O854" s="12"/>
    </row>
    <row r="855" spans="2:15" x14ac:dyDescent="0.25">
      <c r="B855" t="str">
        <f>IF(A855="","",_xlfn.XLOOKUP(A855,MAQUINAS!$A$3:$A$55,MAQUINAS!$B$3:$B$55,"No encontrada"))</f>
        <v/>
      </c>
      <c r="C855" s="5"/>
      <c r="D855" s="5"/>
      <c r="E855" s="4" t="str">
        <f t="shared" si="13"/>
        <v/>
      </c>
      <c r="O855" s="12"/>
    </row>
    <row r="856" spans="2:15" x14ac:dyDescent="0.25">
      <c r="B856" t="str">
        <f>IF(A856="","",_xlfn.XLOOKUP(A856,MAQUINAS!$A$3:$A$55,MAQUINAS!$B$3:$B$55,"No encontrada"))</f>
        <v/>
      </c>
      <c r="C856" s="5"/>
      <c r="D856" s="5"/>
      <c r="E856" s="4" t="str">
        <f t="shared" si="13"/>
        <v/>
      </c>
      <c r="O856" s="12"/>
    </row>
    <row r="857" spans="2:15" x14ac:dyDescent="0.25">
      <c r="B857" t="str">
        <f>IF(A857="","",_xlfn.XLOOKUP(A857,MAQUINAS!$A$3:$A$55,MAQUINAS!$B$3:$B$55,"No encontrada"))</f>
        <v/>
      </c>
      <c r="C857" s="5"/>
      <c r="D857" s="5"/>
      <c r="E857" s="4" t="str">
        <f t="shared" si="13"/>
        <v/>
      </c>
      <c r="O857" s="12"/>
    </row>
    <row r="858" spans="2:15" x14ac:dyDescent="0.25">
      <c r="B858" t="str">
        <f>IF(A858="","",_xlfn.XLOOKUP(A858,MAQUINAS!$A$3:$A$55,MAQUINAS!$B$3:$B$55,"No encontrada"))</f>
        <v/>
      </c>
      <c r="C858" s="5"/>
      <c r="D858" s="5"/>
      <c r="E858" s="4" t="str">
        <f t="shared" si="13"/>
        <v/>
      </c>
      <c r="O858" s="12"/>
    </row>
    <row r="859" spans="2:15" x14ac:dyDescent="0.25">
      <c r="B859" t="str">
        <f>IF(A859="","",_xlfn.XLOOKUP(A859,MAQUINAS!$A$3:$A$55,MAQUINAS!$B$3:$B$55,"No encontrada"))</f>
        <v/>
      </c>
      <c r="C859" s="5"/>
      <c r="D859" s="5"/>
      <c r="E859" s="4" t="str">
        <f t="shared" si="13"/>
        <v/>
      </c>
      <c r="O859" s="12"/>
    </row>
    <row r="860" spans="2:15" x14ac:dyDescent="0.25">
      <c r="B860" t="str">
        <f>IF(A860="","",_xlfn.XLOOKUP(A860,MAQUINAS!$A$3:$A$55,MAQUINAS!$B$3:$B$55,"No encontrada"))</f>
        <v/>
      </c>
      <c r="C860" s="5"/>
      <c r="D860" s="5"/>
      <c r="E860" s="4" t="str">
        <f t="shared" si="13"/>
        <v/>
      </c>
      <c r="O860" s="12"/>
    </row>
    <row r="861" spans="2:15" x14ac:dyDescent="0.25">
      <c r="B861" t="str">
        <f>IF(A861="","",_xlfn.XLOOKUP(A861,MAQUINAS!$A$3:$A$55,MAQUINAS!$B$3:$B$55,"No encontrada"))</f>
        <v/>
      </c>
      <c r="C861" s="5"/>
      <c r="D861" s="5"/>
      <c r="E861" s="4" t="str">
        <f t="shared" si="13"/>
        <v/>
      </c>
      <c r="O861" s="12"/>
    </row>
    <row r="862" spans="2:15" x14ac:dyDescent="0.25">
      <c r="B862" t="str">
        <f>IF(A862="","",_xlfn.XLOOKUP(A862,MAQUINAS!$A$3:$A$55,MAQUINAS!$B$3:$B$55,"No encontrada"))</f>
        <v/>
      </c>
      <c r="C862" s="5"/>
      <c r="D862" s="5"/>
      <c r="E862" s="4" t="str">
        <f t="shared" si="13"/>
        <v/>
      </c>
      <c r="O862" s="12"/>
    </row>
    <row r="863" spans="2:15" x14ac:dyDescent="0.25">
      <c r="B863" t="str">
        <f>IF(A863="","",_xlfn.XLOOKUP(A863,MAQUINAS!$A$3:$A$55,MAQUINAS!$B$3:$B$55,"No encontrada"))</f>
        <v/>
      </c>
      <c r="C863" s="5"/>
      <c r="D863" s="5"/>
      <c r="E863" s="4" t="str">
        <f t="shared" si="13"/>
        <v/>
      </c>
      <c r="O863" s="12"/>
    </row>
    <row r="864" spans="2:15" x14ac:dyDescent="0.25">
      <c r="B864" t="str">
        <f>IF(A864="","",_xlfn.XLOOKUP(A864,MAQUINAS!$A$3:$A$55,MAQUINAS!$B$3:$B$55,"No encontrada"))</f>
        <v/>
      </c>
      <c r="C864" s="5"/>
      <c r="D864" s="5"/>
      <c r="E864" s="4" t="str">
        <f t="shared" si="13"/>
        <v/>
      </c>
      <c r="O864" s="12"/>
    </row>
    <row r="865" spans="2:15" x14ac:dyDescent="0.25">
      <c r="B865" t="str">
        <f>IF(A865="","",_xlfn.XLOOKUP(A865,MAQUINAS!$A$3:$A$55,MAQUINAS!$B$3:$B$55,"No encontrada"))</f>
        <v/>
      </c>
      <c r="C865" s="5"/>
      <c r="D865" s="5"/>
      <c r="E865" s="4" t="str">
        <f t="shared" si="13"/>
        <v/>
      </c>
      <c r="O865" s="12"/>
    </row>
    <row r="866" spans="2:15" x14ac:dyDescent="0.25">
      <c r="B866" t="str">
        <f>IF(A866="","",_xlfn.XLOOKUP(A866,MAQUINAS!$A$3:$A$55,MAQUINAS!$B$3:$B$55,"No encontrada"))</f>
        <v/>
      </c>
      <c r="C866" s="5"/>
      <c r="D866" s="5"/>
      <c r="E866" s="4" t="str">
        <f t="shared" si="13"/>
        <v/>
      </c>
      <c r="O866" s="12"/>
    </row>
    <row r="867" spans="2:15" x14ac:dyDescent="0.25">
      <c r="B867" t="str">
        <f>IF(A867="","",_xlfn.XLOOKUP(A867,MAQUINAS!$A$3:$A$55,MAQUINAS!$B$3:$B$55,"No encontrada"))</f>
        <v/>
      </c>
      <c r="C867" s="5"/>
      <c r="D867" s="5"/>
      <c r="E867" s="4" t="str">
        <f t="shared" si="13"/>
        <v/>
      </c>
      <c r="O867" s="12"/>
    </row>
    <row r="868" spans="2:15" x14ac:dyDescent="0.25">
      <c r="B868" t="str">
        <f>IF(A868="","",_xlfn.XLOOKUP(A868,MAQUINAS!$A$3:$A$55,MAQUINAS!$B$3:$B$55,"No encontrada"))</f>
        <v/>
      </c>
      <c r="C868" s="5"/>
      <c r="D868" s="5"/>
      <c r="E868" s="4" t="str">
        <f t="shared" si="13"/>
        <v/>
      </c>
      <c r="O868" s="12"/>
    </row>
    <row r="869" spans="2:15" x14ac:dyDescent="0.25">
      <c r="B869" t="str">
        <f>IF(A869="","",_xlfn.XLOOKUP(A869,MAQUINAS!$A$3:$A$55,MAQUINAS!$B$3:$B$55,"No encontrada"))</f>
        <v/>
      </c>
      <c r="C869" s="5"/>
      <c r="D869" s="5"/>
      <c r="E869" s="4" t="str">
        <f t="shared" si="13"/>
        <v/>
      </c>
      <c r="O869" s="12"/>
    </row>
    <row r="870" spans="2:15" x14ac:dyDescent="0.25">
      <c r="B870" t="str">
        <f>IF(A870="","",_xlfn.XLOOKUP(A870,MAQUINAS!$A$3:$A$55,MAQUINAS!$B$3:$B$55,"No encontrada"))</f>
        <v/>
      </c>
      <c r="C870" s="5"/>
      <c r="D870" s="5"/>
      <c r="E870" s="4" t="str">
        <f t="shared" si="13"/>
        <v/>
      </c>
      <c r="O870" s="12"/>
    </row>
    <row r="871" spans="2:15" x14ac:dyDescent="0.25">
      <c r="B871" t="str">
        <f>IF(A871="","",_xlfn.XLOOKUP(A871,MAQUINAS!$A$3:$A$55,MAQUINAS!$B$3:$B$55,"No encontrada"))</f>
        <v/>
      </c>
      <c r="C871" s="5"/>
      <c r="D871" s="5"/>
      <c r="E871" s="4" t="str">
        <f t="shared" si="13"/>
        <v/>
      </c>
      <c r="O871" s="12"/>
    </row>
    <row r="872" spans="2:15" x14ac:dyDescent="0.25">
      <c r="B872" t="str">
        <f>IF(A872="","",_xlfn.XLOOKUP(A872,MAQUINAS!$A$3:$A$55,MAQUINAS!$B$3:$B$55,"No encontrada"))</f>
        <v/>
      </c>
      <c r="C872" s="5"/>
      <c r="D872" s="5"/>
      <c r="E872" s="4" t="str">
        <f t="shared" si="13"/>
        <v/>
      </c>
      <c r="O872" s="12"/>
    </row>
    <row r="873" spans="2:15" x14ac:dyDescent="0.25">
      <c r="B873" t="str">
        <f>IF(A873="","",_xlfn.XLOOKUP(A873,MAQUINAS!$A$3:$A$55,MAQUINAS!$B$3:$B$55,"No encontrada"))</f>
        <v/>
      </c>
      <c r="C873" s="5"/>
      <c r="D873" s="5"/>
      <c r="E873" s="4" t="str">
        <f t="shared" si="13"/>
        <v/>
      </c>
      <c r="O873" s="12"/>
    </row>
    <row r="874" spans="2:15" x14ac:dyDescent="0.25">
      <c r="B874" t="str">
        <f>IF(A874="","",_xlfn.XLOOKUP(A874,MAQUINAS!$A$3:$A$55,MAQUINAS!$B$3:$B$55,"No encontrada"))</f>
        <v/>
      </c>
      <c r="C874" s="5"/>
      <c r="D874" s="5"/>
      <c r="E874" s="4" t="str">
        <f t="shared" si="13"/>
        <v/>
      </c>
      <c r="O874" s="12"/>
    </row>
    <row r="875" spans="2:15" x14ac:dyDescent="0.25">
      <c r="B875" t="str">
        <f>IF(A875="","",_xlfn.XLOOKUP(A875,MAQUINAS!$A$3:$A$55,MAQUINAS!$B$3:$B$55,"No encontrada"))</f>
        <v/>
      </c>
      <c r="C875" s="5"/>
      <c r="D875" s="5"/>
      <c r="E875" s="4" t="str">
        <f t="shared" si="13"/>
        <v/>
      </c>
      <c r="O875" s="12"/>
    </row>
    <row r="876" spans="2:15" x14ac:dyDescent="0.25">
      <c r="B876" t="str">
        <f>IF(A876="","",_xlfn.XLOOKUP(A876,MAQUINAS!$A$3:$A$55,MAQUINAS!$B$3:$B$55,"No encontrada"))</f>
        <v/>
      </c>
      <c r="C876" s="5"/>
      <c r="D876" s="5"/>
      <c r="E876" s="4" t="str">
        <f t="shared" si="13"/>
        <v/>
      </c>
      <c r="O876" s="12"/>
    </row>
    <row r="877" spans="2:15" x14ac:dyDescent="0.25">
      <c r="B877" t="str">
        <f>IF(A877="","",_xlfn.XLOOKUP(A877,MAQUINAS!$A$3:$A$55,MAQUINAS!$B$3:$B$55,"No encontrada"))</f>
        <v/>
      </c>
      <c r="C877" s="5"/>
      <c r="D877" s="5"/>
      <c r="E877" s="4" t="str">
        <f t="shared" si="13"/>
        <v/>
      </c>
      <c r="O877" s="12"/>
    </row>
    <row r="878" spans="2:15" x14ac:dyDescent="0.25">
      <c r="B878" t="str">
        <f>IF(A878="","",_xlfn.XLOOKUP(A878,MAQUINAS!$A$3:$A$55,MAQUINAS!$B$3:$B$55,"No encontrada"))</f>
        <v/>
      </c>
      <c r="C878" s="5"/>
      <c r="D878" s="5"/>
      <c r="E878" s="4" t="str">
        <f t="shared" si="13"/>
        <v/>
      </c>
      <c r="O878" s="12"/>
    </row>
    <row r="879" spans="2:15" x14ac:dyDescent="0.25">
      <c r="B879" t="str">
        <f>IF(A879="","",_xlfn.XLOOKUP(A879,MAQUINAS!$A$3:$A$55,MAQUINAS!$B$3:$B$55,"No encontrada"))</f>
        <v/>
      </c>
      <c r="C879" s="5"/>
      <c r="D879" s="5"/>
      <c r="E879" s="4" t="str">
        <f t="shared" si="13"/>
        <v/>
      </c>
      <c r="O879" s="12"/>
    </row>
    <row r="880" spans="2:15" x14ac:dyDescent="0.25">
      <c r="B880" t="str">
        <f>IF(A880="","",_xlfn.XLOOKUP(A880,MAQUINAS!$A$3:$A$55,MAQUINAS!$B$3:$B$55,"No encontrada"))</f>
        <v/>
      </c>
      <c r="C880" s="5"/>
      <c r="D880" s="5"/>
      <c r="E880" s="4" t="str">
        <f t="shared" si="13"/>
        <v/>
      </c>
      <c r="O880" s="12"/>
    </row>
    <row r="881" spans="2:15" x14ac:dyDescent="0.25">
      <c r="B881" t="str">
        <f>IF(A881="","",_xlfn.XLOOKUP(A881,MAQUINAS!$A$3:$A$55,MAQUINAS!$B$3:$B$55,"No encontrada"))</f>
        <v/>
      </c>
      <c r="C881" s="5"/>
      <c r="D881" s="5"/>
      <c r="E881" s="4" t="str">
        <f t="shared" si="13"/>
        <v/>
      </c>
      <c r="O881" s="12"/>
    </row>
    <row r="882" spans="2:15" x14ac:dyDescent="0.25">
      <c r="B882" t="str">
        <f>IF(A882="","",_xlfn.XLOOKUP(A882,MAQUINAS!$A$3:$A$55,MAQUINAS!$B$3:$B$55,"No encontrada"))</f>
        <v/>
      </c>
      <c r="C882" s="5"/>
      <c r="D882" s="5"/>
      <c r="E882" s="4" t="str">
        <f t="shared" si="13"/>
        <v/>
      </c>
      <c r="O882" s="12"/>
    </row>
    <row r="883" spans="2:15" x14ac:dyDescent="0.25">
      <c r="B883" t="str">
        <f>IF(A883="","",_xlfn.XLOOKUP(A883,MAQUINAS!$A$3:$A$55,MAQUINAS!$B$3:$B$55,"No encontrada"))</f>
        <v/>
      </c>
      <c r="C883" s="5"/>
      <c r="D883" s="5"/>
      <c r="E883" s="4" t="str">
        <f t="shared" si="13"/>
        <v/>
      </c>
      <c r="O883" s="12"/>
    </row>
    <row r="884" spans="2:15" x14ac:dyDescent="0.25">
      <c r="B884" t="str">
        <f>IF(A884="","",_xlfn.XLOOKUP(A884,MAQUINAS!$A$3:$A$55,MAQUINAS!$B$3:$B$55,"No encontrada"))</f>
        <v/>
      </c>
      <c r="C884" s="5"/>
      <c r="D884" s="5"/>
      <c r="E884" s="4" t="str">
        <f t="shared" si="13"/>
        <v/>
      </c>
      <c r="O884" s="12"/>
    </row>
    <row r="885" spans="2:15" x14ac:dyDescent="0.25">
      <c r="B885" t="str">
        <f>IF(A885="","",_xlfn.XLOOKUP(A885,MAQUINAS!$A$3:$A$55,MAQUINAS!$B$3:$B$55,"No encontrada"))</f>
        <v/>
      </c>
      <c r="C885" s="5"/>
      <c r="D885" s="5"/>
      <c r="E885" s="4" t="str">
        <f t="shared" si="13"/>
        <v/>
      </c>
      <c r="O885" s="12"/>
    </row>
    <row r="886" spans="2:15" x14ac:dyDescent="0.25">
      <c r="B886" t="str">
        <f>IF(A886="","",_xlfn.XLOOKUP(A886,MAQUINAS!$A$3:$A$55,MAQUINAS!$B$3:$B$55,"No encontrada"))</f>
        <v/>
      </c>
      <c r="C886" s="5"/>
      <c r="D886" s="5"/>
      <c r="E886" s="4" t="str">
        <f t="shared" si="13"/>
        <v/>
      </c>
      <c r="O886" s="12"/>
    </row>
    <row r="887" spans="2:15" x14ac:dyDescent="0.25">
      <c r="B887" t="str">
        <f>IF(A887="","",_xlfn.XLOOKUP(A887,MAQUINAS!$A$3:$A$55,MAQUINAS!$B$3:$B$55,"No encontrada"))</f>
        <v/>
      </c>
      <c r="C887" s="5"/>
      <c r="D887" s="5"/>
      <c r="E887" s="4" t="str">
        <f t="shared" si="13"/>
        <v/>
      </c>
      <c r="O887" s="12"/>
    </row>
    <row r="888" spans="2:15" x14ac:dyDescent="0.25">
      <c r="B888" t="str">
        <f>IF(A888="","",_xlfn.XLOOKUP(A888,MAQUINAS!$A$3:$A$55,MAQUINAS!$B$3:$B$55,"No encontrada"))</f>
        <v/>
      </c>
      <c r="C888" s="5"/>
      <c r="D888" s="5"/>
      <c r="E888" s="4" t="str">
        <f t="shared" si="13"/>
        <v/>
      </c>
      <c r="O888" s="12"/>
    </row>
    <row r="889" spans="2:15" x14ac:dyDescent="0.25">
      <c r="B889" t="str">
        <f>IF(A889="","",_xlfn.XLOOKUP(A889,MAQUINAS!$A$3:$A$55,MAQUINAS!$B$3:$B$55,"No encontrada"))</f>
        <v/>
      </c>
      <c r="C889" s="5"/>
      <c r="D889" s="5"/>
      <c r="E889" s="4" t="str">
        <f t="shared" si="13"/>
        <v/>
      </c>
      <c r="O889" s="12"/>
    </row>
    <row r="890" spans="2:15" x14ac:dyDescent="0.25">
      <c r="B890" t="str">
        <f>IF(A890="","",_xlfn.XLOOKUP(A890,MAQUINAS!$A$3:$A$55,MAQUINAS!$B$3:$B$55,"No encontrada"))</f>
        <v/>
      </c>
      <c r="C890" s="5"/>
      <c r="D890" s="5"/>
      <c r="E890" s="4" t="str">
        <f t="shared" si="13"/>
        <v/>
      </c>
      <c r="O890" s="12"/>
    </row>
    <row r="891" spans="2:15" x14ac:dyDescent="0.25">
      <c r="B891" t="str">
        <f>IF(A891="","",_xlfn.XLOOKUP(A891,MAQUINAS!$A$3:$A$55,MAQUINAS!$B$3:$B$55,"No encontrada"))</f>
        <v/>
      </c>
      <c r="C891" s="5"/>
      <c r="D891" s="5"/>
      <c r="E891" s="4" t="str">
        <f t="shared" si="13"/>
        <v/>
      </c>
      <c r="O891" s="12"/>
    </row>
    <row r="892" spans="2:15" x14ac:dyDescent="0.25">
      <c r="B892" t="str">
        <f>IF(A892="","",_xlfn.XLOOKUP(A892,MAQUINAS!$A$3:$A$55,MAQUINAS!$B$3:$B$55,"No encontrada"))</f>
        <v/>
      </c>
      <c r="C892" s="5"/>
      <c r="D892" s="5"/>
      <c r="E892" s="4" t="str">
        <f t="shared" si="13"/>
        <v/>
      </c>
      <c r="O892" s="12"/>
    </row>
    <row r="893" spans="2:15" x14ac:dyDescent="0.25">
      <c r="B893" t="str">
        <f>IF(A893="","",_xlfn.XLOOKUP(A893,MAQUINAS!$A$3:$A$55,MAQUINAS!$B$3:$B$55,"No encontrada"))</f>
        <v/>
      </c>
      <c r="C893" s="5"/>
      <c r="D893" s="5"/>
      <c r="E893" s="4" t="str">
        <f t="shared" si="13"/>
        <v/>
      </c>
      <c r="O893" s="12"/>
    </row>
    <row r="894" spans="2:15" x14ac:dyDescent="0.25">
      <c r="B894" t="str">
        <f>IF(A894="","",_xlfn.XLOOKUP(A894,MAQUINAS!$A$3:$A$55,MAQUINAS!$B$3:$B$55,"No encontrada"))</f>
        <v/>
      </c>
      <c r="C894" s="5"/>
      <c r="D894" s="5"/>
      <c r="E894" s="4" t="str">
        <f t="shared" si="13"/>
        <v/>
      </c>
      <c r="O894" s="12"/>
    </row>
    <row r="895" spans="2:15" x14ac:dyDescent="0.25">
      <c r="B895" t="str">
        <f>IF(A895="","",_xlfn.XLOOKUP(A895,MAQUINAS!$A$3:$A$55,MAQUINAS!$B$3:$B$55,"No encontrada"))</f>
        <v/>
      </c>
      <c r="C895" s="5"/>
      <c r="D895" s="5"/>
      <c r="E895" s="4" t="str">
        <f t="shared" si="13"/>
        <v/>
      </c>
      <c r="O895" s="12"/>
    </row>
    <row r="896" spans="2:15" x14ac:dyDescent="0.25">
      <c r="B896" t="str">
        <f>IF(A896="","",_xlfn.XLOOKUP(A896,MAQUINAS!$A$3:$A$55,MAQUINAS!$B$3:$B$55,"No encontrada"))</f>
        <v/>
      </c>
      <c r="C896" s="5"/>
      <c r="D896" s="5"/>
      <c r="E896" s="4" t="str">
        <f t="shared" si="13"/>
        <v/>
      </c>
      <c r="O896" s="12"/>
    </row>
    <row r="897" spans="2:15" x14ac:dyDescent="0.25">
      <c r="B897" t="str">
        <f>IF(A897="","",_xlfn.XLOOKUP(A897,MAQUINAS!$A$3:$A$55,MAQUINAS!$B$3:$B$55,"No encontrada"))</f>
        <v/>
      </c>
      <c r="C897" s="5"/>
      <c r="D897" s="5"/>
      <c r="E897" s="4" t="str">
        <f t="shared" si="13"/>
        <v/>
      </c>
      <c r="O897" s="12"/>
    </row>
    <row r="898" spans="2:15" x14ac:dyDescent="0.25">
      <c r="B898" t="str">
        <f>IF(A898="","",_xlfn.XLOOKUP(A898,MAQUINAS!$A$3:$A$55,MAQUINAS!$B$3:$B$55,"No encontrada"))</f>
        <v/>
      </c>
      <c r="C898" s="5"/>
      <c r="D898" s="5"/>
      <c r="E898" s="4" t="str">
        <f t="shared" si="13"/>
        <v/>
      </c>
      <c r="O898" s="12"/>
    </row>
    <row r="899" spans="2:15" x14ac:dyDescent="0.25">
      <c r="B899" t="str">
        <f>IF(A899="","",_xlfn.XLOOKUP(A899,MAQUINAS!$A$3:$A$55,MAQUINAS!$B$3:$B$55,"No encontrada"))</f>
        <v/>
      </c>
      <c r="C899" s="5"/>
      <c r="D899" s="5"/>
      <c r="E899" s="4" t="str">
        <f t="shared" ref="E899:E962" si="14">IF(OR(C899="",D899=""),"",MOD(D899-C899,1))</f>
        <v/>
      </c>
      <c r="O899" s="12"/>
    </row>
    <row r="900" spans="2:15" x14ac:dyDescent="0.25">
      <c r="B900" t="str">
        <f>IF(A900="","",_xlfn.XLOOKUP(A900,MAQUINAS!$A$3:$A$55,MAQUINAS!$B$3:$B$55,"No encontrada"))</f>
        <v/>
      </c>
      <c r="C900" s="5"/>
      <c r="D900" s="5"/>
      <c r="E900" s="4" t="str">
        <f t="shared" si="14"/>
        <v/>
      </c>
      <c r="O900" s="12"/>
    </row>
    <row r="901" spans="2:15" x14ac:dyDescent="0.25">
      <c r="B901" t="str">
        <f>IF(A901="","",_xlfn.XLOOKUP(A901,MAQUINAS!$A$3:$A$55,MAQUINAS!$B$3:$B$55,"No encontrada"))</f>
        <v/>
      </c>
      <c r="C901" s="5"/>
      <c r="D901" s="5"/>
      <c r="E901" s="4" t="str">
        <f t="shared" si="14"/>
        <v/>
      </c>
      <c r="O901" s="12"/>
    </row>
    <row r="902" spans="2:15" x14ac:dyDescent="0.25">
      <c r="B902" t="str">
        <f>IF(A902="","",_xlfn.XLOOKUP(A902,MAQUINAS!$A$3:$A$55,MAQUINAS!$B$3:$B$55,"No encontrada"))</f>
        <v/>
      </c>
      <c r="C902" s="5"/>
      <c r="D902" s="5"/>
      <c r="E902" s="4" t="str">
        <f t="shared" si="14"/>
        <v/>
      </c>
      <c r="O902" s="12"/>
    </row>
    <row r="903" spans="2:15" x14ac:dyDescent="0.25">
      <c r="B903" t="str">
        <f>IF(A903="","",_xlfn.XLOOKUP(A903,MAQUINAS!$A$3:$A$55,MAQUINAS!$B$3:$B$55,"No encontrada"))</f>
        <v/>
      </c>
      <c r="C903" s="5"/>
      <c r="D903" s="5"/>
      <c r="E903" s="4" t="str">
        <f t="shared" si="14"/>
        <v/>
      </c>
      <c r="O903" s="12"/>
    </row>
    <row r="904" spans="2:15" x14ac:dyDescent="0.25">
      <c r="B904" t="str">
        <f>IF(A904="","",_xlfn.XLOOKUP(A904,MAQUINAS!$A$3:$A$55,MAQUINAS!$B$3:$B$55,"No encontrada"))</f>
        <v/>
      </c>
      <c r="C904" s="5"/>
      <c r="D904" s="5"/>
      <c r="E904" s="4" t="str">
        <f t="shared" si="14"/>
        <v/>
      </c>
      <c r="O904" s="12"/>
    </row>
    <row r="905" spans="2:15" x14ac:dyDescent="0.25">
      <c r="B905" t="str">
        <f>IF(A905="","",_xlfn.XLOOKUP(A905,MAQUINAS!$A$3:$A$55,MAQUINAS!$B$3:$B$55,"No encontrada"))</f>
        <v/>
      </c>
      <c r="C905" s="5"/>
      <c r="D905" s="5"/>
      <c r="E905" s="4" t="str">
        <f t="shared" si="14"/>
        <v/>
      </c>
      <c r="O905" s="12"/>
    </row>
    <row r="906" spans="2:15" x14ac:dyDescent="0.25">
      <c r="B906" t="str">
        <f>IF(A906="","",_xlfn.XLOOKUP(A906,MAQUINAS!$A$3:$A$55,MAQUINAS!$B$3:$B$55,"No encontrada"))</f>
        <v/>
      </c>
      <c r="C906" s="5"/>
      <c r="D906" s="5"/>
      <c r="E906" s="4" t="str">
        <f t="shared" si="14"/>
        <v/>
      </c>
      <c r="O906" s="12"/>
    </row>
    <row r="907" spans="2:15" x14ac:dyDescent="0.25">
      <c r="B907" t="str">
        <f>IF(A907="","",_xlfn.XLOOKUP(A907,MAQUINAS!$A$3:$A$55,MAQUINAS!$B$3:$B$55,"No encontrada"))</f>
        <v/>
      </c>
      <c r="C907" s="5"/>
      <c r="D907" s="5"/>
      <c r="E907" s="4" t="str">
        <f t="shared" si="14"/>
        <v/>
      </c>
      <c r="O907" s="12"/>
    </row>
    <row r="908" spans="2:15" x14ac:dyDescent="0.25">
      <c r="B908" t="str">
        <f>IF(A908="","",_xlfn.XLOOKUP(A908,MAQUINAS!$A$3:$A$55,MAQUINAS!$B$3:$B$55,"No encontrada"))</f>
        <v/>
      </c>
      <c r="C908" s="5"/>
      <c r="D908" s="5"/>
      <c r="E908" s="4" t="str">
        <f t="shared" si="14"/>
        <v/>
      </c>
      <c r="O908" s="12"/>
    </row>
    <row r="909" spans="2:15" x14ac:dyDescent="0.25">
      <c r="B909" t="str">
        <f>IF(A909="","",_xlfn.XLOOKUP(A909,MAQUINAS!$A$3:$A$55,MAQUINAS!$B$3:$B$55,"No encontrada"))</f>
        <v/>
      </c>
      <c r="C909" s="5"/>
      <c r="D909" s="5"/>
      <c r="E909" s="4" t="str">
        <f t="shared" si="14"/>
        <v/>
      </c>
      <c r="O909" s="12"/>
    </row>
    <row r="910" spans="2:15" x14ac:dyDescent="0.25">
      <c r="B910" t="str">
        <f>IF(A910="","",_xlfn.XLOOKUP(A910,MAQUINAS!$A$3:$A$55,MAQUINAS!$B$3:$B$55,"No encontrada"))</f>
        <v/>
      </c>
      <c r="C910" s="5"/>
      <c r="D910" s="5"/>
      <c r="E910" s="4" t="str">
        <f t="shared" si="14"/>
        <v/>
      </c>
      <c r="O910" s="12"/>
    </row>
    <row r="911" spans="2:15" x14ac:dyDescent="0.25">
      <c r="B911" t="str">
        <f>IF(A911="","",_xlfn.XLOOKUP(A911,MAQUINAS!$A$3:$A$55,MAQUINAS!$B$3:$B$55,"No encontrada"))</f>
        <v/>
      </c>
      <c r="C911" s="5"/>
      <c r="D911" s="5"/>
      <c r="E911" s="4" t="str">
        <f t="shared" si="14"/>
        <v/>
      </c>
      <c r="O911" s="12"/>
    </row>
    <row r="912" spans="2:15" x14ac:dyDescent="0.25">
      <c r="B912" t="str">
        <f>IF(A912="","",_xlfn.XLOOKUP(A912,MAQUINAS!$A$3:$A$55,MAQUINAS!$B$3:$B$55,"No encontrada"))</f>
        <v/>
      </c>
      <c r="C912" s="5"/>
      <c r="D912" s="5"/>
      <c r="E912" s="4" t="str">
        <f t="shared" si="14"/>
        <v/>
      </c>
      <c r="O912" s="12"/>
    </row>
    <row r="913" spans="2:15" x14ac:dyDescent="0.25">
      <c r="B913" t="str">
        <f>IF(A913="","",_xlfn.XLOOKUP(A913,MAQUINAS!$A$3:$A$55,MAQUINAS!$B$3:$B$55,"No encontrada"))</f>
        <v/>
      </c>
      <c r="C913" s="5"/>
      <c r="D913" s="5"/>
      <c r="E913" s="4" t="str">
        <f t="shared" si="14"/>
        <v/>
      </c>
      <c r="O913" s="12"/>
    </row>
    <row r="914" spans="2:15" x14ac:dyDescent="0.25">
      <c r="B914" t="str">
        <f>IF(A914="","",_xlfn.XLOOKUP(A914,MAQUINAS!$A$3:$A$55,MAQUINAS!$B$3:$B$55,"No encontrada"))</f>
        <v/>
      </c>
      <c r="C914" s="5"/>
      <c r="D914" s="5"/>
      <c r="E914" s="4" t="str">
        <f t="shared" si="14"/>
        <v/>
      </c>
      <c r="O914" s="12"/>
    </row>
    <row r="915" spans="2:15" x14ac:dyDescent="0.25">
      <c r="B915" t="str">
        <f>IF(A915="","",_xlfn.XLOOKUP(A915,MAQUINAS!$A$3:$A$55,MAQUINAS!$B$3:$B$55,"No encontrada"))</f>
        <v/>
      </c>
      <c r="C915" s="5"/>
      <c r="D915" s="5"/>
      <c r="E915" s="4" t="str">
        <f t="shared" si="14"/>
        <v/>
      </c>
      <c r="O915" s="12"/>
    </row>
    <row r="916" spans="2:15" x14ac:dyDescent="0.25">
      <c r="B916" t="str">
        <f>IF(A916="","",_xlfn.XLOOKUP(A916,MAQUINAS!$A$3:$A$55,MAQUINAS!$B$3:$B$55,"No encontrada"))</f>
        <v/>
      </c>
      <c r="C916" s="5"/>
      <c r="D916" s="5"/>
      <c r="E916" s="4" t="str">
        <f t="shared" si="14"/>
        <v/>
      </c>
      <c r="O916" s="12"/>
    </row>
    <row r="917" spans="2:15" x14ac:dyDescent="0.25">
      <c r="B917" t="str">
        <f>IF(A917="","",_xlfn.XLOOKUP(A917,MAQUINAS!$A$3:$A$55,MAQUINAS!$B$3:$B$55,"No encontrada"))</f>
        <v/>
      </c>
      <c r="C917" s="5"/>
      <c r="D917" s="5"/>
      <c r="E917" s="4" t="str">
        <f t="shared" si="14"/>
        <v/>
      </c>
      <c r="O917" s="12"/>
    </row>
    <row r="918" spans="2:15" x14ac:dyDescent="0.25">
      <c r="B918" t="str">
        <f>IF(A918="","",_xlfn.XLOOKUP(A918,MAQUINAS!$A$3:$A$55,MAQUINAS!$B$3:$B$55,"No encontrada"))</f>
        <v/>
      </c>
      <c r="C918" s="5"/>
      <c r="D918" s="5"/>
      <c r="E918" s="4" t="str">
        <f t="shared" si="14"/>
        <v/>
      </c>
      <c r="O918" s="12"/>
    </row>
    <row r="919" spans="2:15" x14ac:dyDescent="0.25">
      <c r="B919" t="str">
        <f>IF(A919="","",_xlfn.XLOOKUP(A919,MAQUINAS!$A$3:$A$55,MAQUINAS!$B$3:$B$55,"No encontrada"))</f>
        <v/>
      </c>
      <c r="C919" s="5"/>
      <c r="D919" s="5"/>
      <c r="E919" s="4" t="str">
        <f t="shared" si="14"/>
        <v/>
      </c>
      <c r="O919" s="12"/>
    </row>
    <row r="920" spans="2:15" x14ac:dyDescent="0.25">
      <c r="B920" t="str">
        <f>IF(A920="","",_xlfn.XLOOKUP(A920,MAQUINAS!$A$3:$A$55,MAQUINAS!$B$3:$B$55,"No encontrada"))</f>
        <v/>
      </c>
      <c r="C920" s="5"/>
      <c r="D920" s="5"/>
      <c r="E920" s="4" t="str">
        <f t="shared" si="14"/>
        <v/>
      </c>
      <c r="O920" s="12"/>
    </row>
    <row r="921" spans="2:15" x14ac:dyDescent="0.25">
      <c r="B921" t="str">
        <f>IF(A921="","",_xlfn.XLOOKUP(A921,MAQUINAS!$A$3:$A$55,MAQUINAS!$B$3:$B$55,"No encontrada"))</f>
        <v/>
      </c>
      <c r="C921" s="5"/>
      <c r="D921" s="5"/>
      <c r="E921" s="4" t="str">
        <f t="shared" si="14"/>
        <v/>
      </c>
      <c r="O921" s="12"/>
    </row>
    <row r="922" spans="2:15" x14ac:dyDescent="0.25">
      <c r="B922" t="str">
        <f>IF(A922="","",_xlfn.XLOOKUP(A922,MAQUINAS!$A$3:$A$55,MAQUINAS!$B$3:$B$55,"No encontrada"))</f>
        <v/>
      </c>
      <c r="C922" s="5"/>
      <c r="D922" s="5"/>
      <c r="E922" s="4" t="str">
        <f t="shared" si="14"/>
        <v/>
      </c>
      <c r="O922" s="12"/>
    </row>
    <row r="923" spans="2:15" x14ac:dyDescent="0.25">
      <c r="B923" t="str">
        <f>IF(A923="","",_xlfn.XLOOKUP(A923,MAQUINAS!$A$3:$A$55,MAQUINAS!$B$3:$B$55,"No encontrada"))</f>
        <v/>
      </c>
      <c r="C923" s="5"/>
      <c r="D923" s="5"/>
      <c r="E923" s="4" t="str">
        <f t="shared" si="14"/>
        <v/>
      </c>
      <c r="O923" s="12"/>
    </row>
    <row r="924" spans="2:15" x14ac:dyDescent="0.25">
      <c r="B924" t="str">
        <f>IF(A924="","",_xlfn.XLOOKUP(A924,MAQUINAS!$A$3:$A$55,MAQUINAS!$B$3:$B$55,"No encontrada"))</f>
        <v/>
      </c>
      <c r="C924" s="5"/>
      <c r="D924" s="5"/>
      <c r="E924" s="4" t="str">
        <f t="shared" si="14"/>
        <v/>
      </c>
      <c r="O924" s="12"/>
    </row>
    <row r="925" spans="2:15" x14ac:dyDescent="0.25">
      <c r="B925" t="str">
        <f>IF(A925="","",_xlfn.XLOOKUP(A925,MAQUINAS!$A$3:$A$55,MAQUINAS!$B$3:$B$55,"No encontrada"))</f>
        <v/>
      </c>
      <c r="C925" s="5"/>
      <c r="D925" s="5"/>
      <c r="E925" s="4" t="str">
        <f t="shared" si="14"/>
        <v/>
      </c>
      <c r="O925" s="12"/>
    </row>
    <row r="926" spans="2:15" x14ac:dyDescent="0.25">
      <c r="B926" t="str">
        <f>IF(A926="","",_xlfn.XLOOKUP(A926,MAQUINAS!$A$3:$A$55,MAQUINAS!$B$3:$B$55,"No encontrada"))</f>
        <v/>
      </c>
      <c r="C926" s="5"/>
      <c r="D926" s="5"/>
      <c r="E926" s="4" t="str">
        <f t="shared" si="14"/>
        <v/>
      </c>
      <c r="O926" s="12"/>
    </row>
    <row r="927" spans="2:15" x14ac:dyDescent="0.25">
      <c r="B927" t="str">
        <f>IF(A927="","",_xlfn.XLOOKUP(A927,MAQUINAS!$A$3:$A$55,MAQUINAS!$B$3:$B$55,"No encontrada"))</f>
        <v/>
      </c>
      <c r="C927" s="5"/>
      <c r="D927" s="5"/>
      <c r="E927" s="4" t="str">
        <f t="shared" si="14"/>
        <v/>
      </c>
      <c r="O927" s="12"/>
    </row>
    <row r="928" spans="2:15" x14ac:dyDescent="0.25">
      <c r="B928" t="str">
        <f>IF(A928="","",_xlfn.XLOOKUP(A928,MAQUINAS!$A$3:$A$55,MAQUINAS!$B$3:$B$55,"No encontrada"))</f>
        <v/>
      </c>
      <c r="C928" s="5"/>
      <c r="D928" s="5"/>
      <c r="E928" s="4" t="str">
        <f t="shared" si="14"/>
        <v/>
      </c>
      <c r="O928" s="12"/>
    </row>
    <row r="929" spans="2:15" x14ac:dyDescent="0.25">
      <c r="B929" t="str">
        <f>IF(A929="","",_xlfn.XLOOKUP(A929,MAQUINAS!$A$3:$A$55,MAQUINAS!$B$3:$B$55,"No encontrada"))</f>
        <v/>
      </c>
      <c r="C929" s="5"/>
      <c r="D929" s="5"/>
      <c r="E929" s="4" t="str">
        <f t="shared" si="14"/>
        <v/>
      </c>
      <c r="O929" s="12"/>
    </row>
    <row r="930" spans="2:15" x14ac:dyDescent="0.25">
      <c r="B930" t="str">
        <f>IF(A930="","",_xlfn.XLOOKUP(A930,MAQUINAS!$A$3:$A$55,MAQUINAS!$B$3:$B$55,"No encontrada"))</f>
        <v/>
      </c>
      <c r="C930" s="5"/>
      <c r="D930" s="5"/>
      <c r="E930" s="4" t="str">
        <f t="shared" si="14"/>
        <v/>
      </c>
      <c r="O930" s="12"/>
    </row>
    <row r="931" spans="2:15" x14ac:dyDescent="0.25">
      <c r="B931" t="str">
        <f>IF(A931="","",_xlfn.XLOOKUP(A931,MAQUINAS!$A$3:$A$55,MAQUINAS!$B$3:$B$55,"No encontrada"))</f>
        <v/>
      </c>
      <c r="C931" s="5"/>
      <c r="D931" s="5"/>
      <c r="E931" s="4" t="str">
        <f t="shared" si="14"/>
        <v/>
      </c>
      <c r="O931" s="12"/>
    </row>
    <row r="932" spans="2:15" x14ac:dyDescent="0.25">
      <c r="B932" t="str">
        <f>IF(A932="","",_xlfn.XLOOKUP(A932,MAQUINAS!$A$3:$A$55,MAQUINAS!$B$3:$B$55,"No encontrada"))</f>
        <v/>
      </c>
      <c r="C932" s="5"/>
      <c r="D932" s="5"/>
      <c r="E932" s="4" t="str">
        <f t="shared" si="14"/>
        <v/>
      </c>
      <c r="O932" s="12"/>
    </row>
    <row r="933" spans="2:15" x14ac:dyDescent="0.25">
      <c r="B933" t="str">
        <f>IF(A933="","",_xlfn.XLOOKUP(A933,MAQUINAS!$A$3:$A$55,MAQUINAS!$B$3:$B$55,"No encontrada"))</f>
        <v/>
      </c>
      <c r="C933" s="5"/>
      <c r="D933" s="5"/>
      <c r="E933" s="4" t="str">
        <f t="shared" si="14"/>
        <v/>
      </c>
      <c r="O933" s="12"/>
    </row>
    <row r="934" spans="2:15" x14ac:dyDescent="0.25">
      <c r="B934" t="str">
        <f>IF(A934="","",_xlfn.XLOOKUP(A934,MAQUINAS!$A$3:$A$55,MAQUINAS!$B$3:$B$55,"No encontrada"))</f>
        <v/>
      </c>
      <c r="C934" s="5"/>
      <c r="D934" s="5"/>
      <c r="E934" s="4" t="str">
        <f t="shared" si="14"/>
        <v/>
      </c>
      <c r="O934" s="12"/>
    </row>
    <row r="935" spans="2:15" x14ac:dyDescent="0.25">
      <c r="B935" t="str">
        <f>IF(A935="","",_xlfn.XLOOKUP(A935,MAQUINAS!$A$3:$A$55,MAQUINAS!$B$3:$B$55,"No encontrada"))</f>
        <v/>
      </c>
      <c r="C935" s="5"/>
      <c r="D935" s="5"/>
      <c r="E935" s="4" t="str">
        <f t="shared" si="14"/>
        <v/>
      </c>
      <c r="O935" s="12"/>
    </row>
    <row r="936" spans="2:15" x14ac:dyDescent="0.25">
      <c r="B936" t="str">
        <f>IF(A936="","",_xlfn.XLOOKUP(A936,MAQUINAS!$A$3:$A$55,MAQUINAS!$B$3:$B$55,"No encontrada"))</f>
        <v/>
      </c>
      <c r="C936" s="5"/>
      <c r="D936" s="5"/>
      <c r="E936" s="4" t="str">
        <f t="shared" si="14"/>
        <v/>
      </c>
      <c r="O936" s="12"/>
    </row>
    <row r="937" spans="2:15" x14ac:dyDescent="0.25">
      <c r="B937" t="str">
        <f>IF(A937="","",_xlfn.XLOOKUP(A937,MAQUINAS!$A$3:$A$55,MAQUINAS!$B$3:$B$55,"No encontrada"))</f>
        <v/>
      </c>
      <c r="C937" s="5"/>
      <c r="D937" s="5"/>
      <c r="E937" s="4" t="str">
        <f t="shared" si="14"/>
        <v/>
      </c>
      <c r="O937" s="12"/>
    </row>
    <row r="938" spans="2:15" x14ac:dyDescent="0.25">
      <c r="B938" t="str">
        <f>IF(A938="","",_xlfn.XLOOKUP(A938,MAQUINAS!$A$3:$A$55,MAQUINAS!$B$3:$B$55,"No encontrada"))</f>
        <v/>
      </c>
      <c r="C938" s="5"/>
      <c r="D938" s="5"/>
      <c r="E938" s="4" t="str">
        <f t="shared" si="14"/>
        <v/>
      </c>
      <c r="O938" s="12"/>
    </row>
    <row r="939" spans="2:15" x14ac:dyDescent="0.25">
      <c r="B939" t="str">
        <f>IF(A939="","",_xlfn.XLOOKUP(A939,MAQUINAS!$A$3:$A$55,MAQUINAS!$B$3:$B$55,"No encontrada"))</f>
        <v/>
      </c>
      <c r="C939" s="5"/>
      <c r="D939" s="5"/>
      <c r="E939" s="4" t="str">
        <f t="shared" si="14"/>
        <v/>
      </c>
      <c r="O939" s="12"/>
    </row>
    <row r="940" spans="2:15" x14ac:dyDescent="0.25">
      <c r="B940" t="str">
        <f>IF(A940="","",_xlfn.XLOOKUP(A940,MAQUINAS!$A$3:$A$55,MAQUINAS!$B$3:$B$55,"No encontrada"))</f>
        <v/>
      </c>
      <c r="C940" s="5"/>
      <c r="D940" s="5"/>
      <c r="E940" s="4" t="str">
        <f t="shared" si="14"/>
        <v/>
      </c>
      <c r="O940" s="12"/>
    </row>
    <row r="941" spans="2:15" x14ac:dyDescent="0.25">
      <c r="B941" t="str">
        <f>IF(A941="","",_xlfn.XLOOKUP(A941,MAQUINAS!$A$3:$A$55,MAQUINAS!$B$3:$B$55,"No encontrada"))</f>
        <v/>
      </c>
      <c r="C941" s="5"/>
      <c r="D941" s="5"/>
      <c r="E941" s="4" t="str">
        <f t="shared" si="14"/>
        <v/>
      </c>
      <c r="O941" s="12"/>
    </row>
    <row r="942" spans="2:15" x14ac:dyDescent="0.25">
      <c r="B942" t="str">
        <f>IF(A942="","",_xlfn.XLOOKUP(A942,MAQUINAS!$A$3:$A$55,MAQUINAS!$B$3:$B$55,"No encontrada"))</f>
        <v/>
      </c>
      <c r="C942" s="5"/>
      <c r="D942" s="5"/>
      <c r="E942" s="4" t="str">
        <f t="shared" si="14"/>
        <v/>
      </c>
      <c r="O942" s="12"/>
    </row>
    <row r="943" spans="2:15" x14ac:dyDescent="0.25">
      <c r="B943" t="str">
        <f>IF(A943="","",_xlfn.XLOOKUP(A943,MAQUINAS!$A$3:$A$55,MAQUINAS!$B$3:$B$55,"No encontrada"))</f>
        <v/>
      </c>
      <c r="C943" s="5"/>
      <c r="D943" s="5"/>
      <c r="E943" s="4" t="str">
        <f t="shared" si="14"/>
        <v/>
      </c>
      <c r="O943" s="12"/>
    </row>
    <row r="944" spans="2:15" x14ac:dyDescent="0.25">
      <c r="B944" t="str">
        <f>IF(A944="","",_xlfn.XLOOKUP(A944,MAQUINAS!$A$3:$A$55,MAQUINAS!$B$3:$B$55,"No encontrada"))</f>
        <v/>
      </c>
      <c r="C944" s="5"/>
      <c r="D944" s="5"/>
      <c r="E944" s="4" t="str">
        <f t="shared" si="14"/>
        <v/>
      </c>
      <c r="O944" s="12"/>
    </row>
    <row r="945" spans="2:15" x14ac:dyDescent="0.25">
      <c r="B945" t="str">
        <f>IF(A945="","",_xlfn.XLOOKUP(A945,MAQUINAS!$A$3:$A$55,MAQUINAS!$B$3:$B$55,"No encontrada"))</f>
        <v/>
      </c>
      <c r="C945" s="5"/>
      <c r="D945" s="5"/>
      <c r="E945" s="4" t="str">
        <f t="shared" si="14"/>
        <v/>
      </c>
      <c r="O945" s="12"/>
    </row>
    <row r="946" spans="2:15" x14ac:dyDescent="0.25">
      <c r="B946" t="str">
        <f>IF(A946="","",_xlfn.XLOOKUP(A946,MAQUINAS!$A$3:$A$55,MAQUINAS!$B$3:$B$55,"No encontrada"))</f>
        <v/>
      </c>
      <c r="C946" s="5"/>
      <c r="D946" s="5"/>
      <c r="E946" s="4" t="str">
        <f t="shared" si="14"/>
        <v/>
      </c>
      <c r="O946" s="12"/>
    </row>
    <row r="947" spans="2:15" x14ac:dyDescent="0.25">
      <c r="B947" t="str">
        <f>IF(A947="","",_xlfn.XLOOKUP(A947,MAQUINAS!$A$3:$A$55,MAQUINAS!$B$3:$B$55,"No encontrada"))</f>
        <v/>
      </c>
      <c r="C947" s="5"/>
      <c r="D947" s="5"/>
      <c r="E947" s="4" t="str">
        <f t="shared" si="14"/>
        <v/>
      </c>
      <c r="O947" s="12"/>
    </row>
    <row r="948" spans="2:15" x14ac:dyDescent="0.25">
      <c r="B948" t="str">
        <f>IF(A948="","",_xlfn.XLOOKUP(A948,MAQUINAS!$A$3:$A$55,MAQUINAS!$B$3:$B$55,"No encontrada"))</f>
        <v/>
      </c>
      <c r="C948" s="5"/>
      <c r="D948" s="5"/>
      <c r="E948" s="4" t="str">
        <f t="shared" si="14"/>
        <v/>
      </c>
      <c r="O948" s="12"/>
    </row>
    <row r="949" spans="2:15" x14ac:dyDescent="0.25">
      <c r="B949" t="str">
        <f>IF(A949="","",_xlfn.XLOOKUP(A949,MAQUINAS!$A$3:$A$55,MAQUINAS!$B$3:$B$55,"No encontrada"))</f>
        <v/>
      </c>
      <c r="C949" s="5"/>
      <c r="D949" s="5"/>
      <c r="E949" s="4" t="str">
        <f t="shared" si="14"/>
        <v/>
      </c>
      <c r="O949" s="12"/>
    </row>
    <row r="950" spans="2:15" x14ac:dyDescent="0.25">
      <c r="B950" t="str">
        <f>IF(A950="","",_xlfn.XLOOKUP(A950,MAQUINAS!$A$3:$A$55,MAQUINAS!$B$3:$B$55,"No encontrada"))</f>
        <v/>
      </c>
      <c r="C950" s="5"/>
      <c r="D950" s="5"/>
      <c r="E950" s="4" t="str">
        <f t="shared" si="14"/>
        <v/>
      </c>
      <c r="O950" s="12"/>
    </row>
    <row r="951" spans="2:15" x14ac:dyDescent="0.25">
      <c r="B951" t="str">
        <f>IF(A951="","",_xlfn.XLOOKUP(A951,MAQUINAS!$A$3:$A$55,MAQUINAS!$B$3:$B$55,"No encontrada"))</f>
        <v/>
      </c>
      <c r="C951" s="5"/>
      <c r="D951" s="5"/>
      <c r="E951" s="4" t="str">
        <f t="shared" si="14"/>
        <v/>
      </c>
      <c r="O951" s="12"/>
    </row>
    <row r="952" spans="2:15" x14ac:dyDescent="0.25">
      <c r="B952" t="str">
        <f>IF(A952="","",_xlfn.XLOOKUP(A952,MAQUINAS!$A$3:$A$55,MAQUINAS!$B$3:$B$55,"No encontrada"))</f>
        <v/>
      </c>
      <c r="C952" s="5"/>
      <c r="D952" s="5"/>
      <c r="E952" s="4" t="str">
        <f t="shared" si="14"/>
        <v/>
      </c>
      <c r="O952" s="12"/>
    </row>
    <row r="953" spans="2:15" x14ac:dyDescent="0.25">
      <c r="B953" t="str">
        <f>IF(A953="","",_xlfn.XLOOKUP(A953,MAQUINAS!$A$3:$A$55,MAQUINAS!$B$3:$B$55,"No encontrada"))</f>
        <v/>
      </c>
      <c r="C953" s="5"/>
      <c r="D953" s="5"/>
      <c r="E953" s="4" t="str">
        <f t="shared" si="14"/>
        <v/>
      </c>
      <c r="O953" s="12"/>
    </row>
    <row r="954" spans="2:15" x14ac:dyDescent="0.25">
      <c r="B954" t="str">
        <f>IF(A954="","",_xlfn.XLOOKUP(A954,MAQUINAS!$A$3:$A$55,MAQUINAS!$B$3:$B$55,"No encontrada"))</f>
        <v/>
      </c>
      <c r="C954" s="5"/>
      <c r="D954" s="5"/>
      <c r="E954" s="4" t="str">
        <f t="shared" si="14"/>
        <v/>
      </c>
      <c r="O954" s="12"/>
    </row>
    <row r="955" spans="2:15" x14ac:dyDescent="0.25">
      <c r="B955" t="str">
        <f>IF(A955="","",_xlfn.XLOOKUP(A955,MAQUINAS!$A$3:$A$55,MAQUINAS!$B$3:$B$55,"No encontrada"))</f>
        <v/>
      </c>
      <c r="C955" s="5"/>
      <c r="D955" s="5"/>
      <c r="E955" s="4" t="str">
        <f t="shared" si="14"/>
        <v/>
      </c>
      <c r="O955" s="12"/>
    </row>
    <row r="956" spans="2:15" x14ac:dyDescent="0.25">
      <c r="B956" t="str">
        <f>IF(A956="","",_xlfn.XLOOKUP(A956,MAQUINAS!$A$3:$A$55,MAQUINAS!$B$3:$B$55,"No encontrada"))</f>
        <v/>
      </c>
      <c r="C956" s="5"/>
      <c r="D956" s="5"/>
      <c r="E956" s="4" t="str">
        <f t="shared" si="14"/>
        <v/>
      </c>
      <c r="O956" s="12"/>
    </row>
    <row r="957" spans="2:15" x14ac:dyDescent="0.25">
      <c r="B957" t="str">
        <f>IF(A957="","",_xlfn.XLOOKUP(A957,MAQUINAS!$A$3:$A$55,MAQUINAS!$B$3:$B$55,"No encontrada"))</f>
        <v/>
      </c>
      <c r="C957" s="5"/>
      <c r="D957" s="5"/>
      <c r="E957" s="4" t="str">
        <f t="shared" si="14"/>
        <v/>
      </c>
      <c r="O957" s="12"/>
    </row>
    <row r="958" spans="2:15" x14ac:dyDescent="0.25">
      <c r="B958" t="str">
        <f>IF(A958="","",_xlfn.XLOOKUP(A958,MAQUINAS!$A$3:$A$55,MAQUINAS!$B$3:$B$55,"No encontrada"))</f>
        <v/>
      </c>
      <c r="C958" s="5"/>
      <c r="D958" s="5"/>
      <c r="E958" s="4" t="str">
        <f t="shared" si="14"/>
        <v/>
      </c>
      <c r="O958" s="12"/>
    </row>
    <row r="959" spans="2:15" x14ac:dyDescent="0.25">
      <c r="B959" t="str">
        <f>IF(A959="","",_xlfn.XLOOKUP(A959,MAQUINAS!$A$3:$A$55,MAQUINAS!$B$3:$B$55,"No encontrada"))</f>
        <v/>
      </c>
      <c r="C959" s="5"/>
      <c r="D959" s="5"/>
      <c r="E959" s="4" t="str">
        <f t="shared" si="14"/>
        <v/>
      </c>
      <c r="O959" s="12"/>
    </row>
    <row r="960" spans="2:15" x14ac:dyDescent="0.25">
      <c r="B960" t="str">
        <f>IF(A960="","",_xlfn.XLOOKUP(A960,MAQUINAS!$A$3:$A$55,MAQUINAS!$B$3:$B$55,"No encontrada"))</f>
        <v/>
      </c>
      <c r="C960" s="5"/>
      <c r="D960" s="5"/>
      <c r="E960" s="4" t="str">
        <f t="shared" si="14"/>
        <v/>
      </c>
      <c r="O960" s="12"/>
    </row>
    <row r="961" spans="2:15" x14ac:dyDescent="0.25">
      <c r="B961" t="str">
        <f>IF(A961="","",_xlfn.XLOOKUP(A961,MAQUINAS!$A$3:$A$55,MAQUINAS!$B$3:$B$55,"No encontrada"))</f>
        <v/>
      </c>
      <c r="C961" s="5"/>
      <c r="D961" s="5"/>
      <c r="E961" s="4" t="str">
        <f t="shared" si="14"/>
        <v/>
      </c>
      <c r="O961" s="12"/>
    </row>
    <row r="962" spans="2:15" x14ac:dyDescent="0.25">
      <c r="B962" t="str">
        <f>IF(A962="","",_xlfn.XLOOKUP(A962,MAQUINAS!$A$3:$A$55,MAQUINAS!$B$3:$B$55,"No encontrada"))</f>
        <v/>
      </c>
      <c r="C962" s="5"/>
      <c r="D962" s="5"/>
      <c r="E962" s="4" t="str">
        <f t="shared" si="14"/>
        <v/>
      </c>
      <c r="O962" s="12"/>
    </row>
    <row r="963" spans="2:15" x14ac:dyDescent="0.25">
      <c r="B963" t="str">
        <f>IF(A963="","",_xlfn.XLOOKUP(A963,MAQUINAS!$A$3:$A$55,MAQUINAS!$B$3:$B$55,"No encontrada"))</f>
        <v/>
      </c>
      <c r="C963" s="5"/>
      <c r="D963" s="5"/>
      <c r="E963" s="4" t="str">
        <f t="shared" ref="E963:E1000" si="15">IF(OR(C963="",D963=""),"",MOD(D963-C963,1))</f>
        <v/>
      </c>
      <c r="O963" s="12"/>
    </row>
    <row r="964" spans="2:15" x14ac:dyDescent="0.25">
      <c r="B964" t="str">
        <f>IF(A964="","",_xlfn.XLOOKUP(A964,MAQUINAS!$A$3:$A$55,MAQUINAS!$B$3:$B$55,"No encontrada"))</f>
        <v/>
      </c>
      <c r="C964" s="5"/>
      <c r="D964" s="5"/>
      <c r="E964" s="4" t="str">
        <f t="shared" si="15"/>
        <v/>
      </c>
      <c r="O964" s="12"/>
    </row>
    <row r="965" spans="2:15" x14ac:dyDescent="0.25">
      <c r="B965" t="str">
        <f>IF(A965="","",_xlfn.XLOOKUP(A965,MAQUINAS!$A$3:$A$55,MAQUINAS!$B$3:$B$55,"No encontrada"))</f>
        <v/>
      </c>
      <c r="C965" s="5"/>
      <c r="D965" s="5"/>
      <c r="E965" s="4" t="str">
        <f t="shared" si="15"/>
        <v/>
      </c>
      <c r="O965" s="12"/>
    </row>
    <row r="966" spans="2:15" x14ac:dyDescent="0.25">
      <c r="B966" t="str">
        <f>IF(A966="","",_xlfn.XLOOKUP(A966,MAQUINAS!$A$3:$A$55,MAQUINAS!$B$3:$B$55,"No encontrada"))</f>
        <v/>
      </c>
      <c r="C966" s="5"/>
      <c r="D966" s="5"/>
      <c r="E966" s="4" t="str">
        <f t="shared" si="15"/>
        <v/>
      </c>
      <c r="O966" s="12"/>
    </row>
    <row r="967" spans="2:15" x14ac:dyDescent="0.25">
      <c r="B967" t="str">
        <f>IF(A967="","",_xlfn.XLOOKUP(A967,MAQUINAS!$A$3:$A$55,MAQUINAS!$B$3:$B$55,"No encontrada"))</f>
        <v/>
      </c>
      <c r="C967" s="5"/>
      <c r="D967" s="5"/>
      <c r="E967" s="4" t="str">
        <f t="shared" si="15"/>
        <v/>
      </c>
      <c r="O967" s="12"/>
    </row>
    <row r="968" spans="2:15" x14ac:dyDescent="0.25">
      <c r="B968" t="str">
        <f>IF(A968="","",_xlfn.XLOOKUP(A968,MAQUINAS!$A$3:$A$55,MAQUINAS!$B$3:$B$55,"No encontrada"))</f>
        <v/>
      </c>
      <c r="C968" s="5"/>
      <c r="D968" s="5"/>
      <c r="E968" s="4" t="str">
        <f t="shared" si="15"/>
        <v/>
      </c>
      <c r="O968" s="12"/>
    </row>
    <row r="969" spans="2:15" x14ac:dyDescent="0.25">
      <c r="B969" t="str">
        <f>IF(A969="","",_xlfn.XLOOKUP(A969,MAQUINAS!$A$3:$A$55,MAQUINAS!$B$3:$B$55,"No encontrada"))</f>
        <v/>
      </c>
      <c r="C969" s="5"/>
      <c r="D969" s="5"/>
      <c r="E969" s="4" t="str">
        <f t="shared" si="15"/>
        <v/>
      </c>
      <c r="O969" s="12"/>
    </row>
    <row r="970" spans="2:15" x14ac:dyDescent="0.25">
      <c r="B970" t="str">
        <f>IF(A970="","",_xlfn.XLOOKUP(A970,MAQUINAS!$A$3:$A$55,MAQUINAS!$B$3:$B$55,"No encontrada"))</f>
        <v/>
      </c>
      <c r="C970" s="5"/>
      <c r="D970" s="5"/>
      <c r="E970" s="4" t="str">
        <f t="shared" si="15"/>
        <v/>
      </c>
      <c r="O970" s="12"/>
    </row>
    <row r="971" spans="2:15" x14ac:dyDescent="0.25">
      <c r="B971" t="str">
        <f>IF(A971="","",_xlfn.XLOOKUP(A971,MAQUINAS!$A$3:$A$55,MAQUINAS!$B$3:$B$55,"No encontrada"))</f>
        <v/>
      </c>
      <c r="C971" s="5"/>
      <c r="D971" s="5"/>
      <c r="E971" s="4" t="str">
        <f t="shared" si="15"/>
        <v/>
      </c>
      <c r="O971" s="12"/>
    </row>
    <row r="972" spans="2:15" x14ac:dyDescent="0.25">
      <c r="B972" t="str">
        <f>IF(A972="","",_xlfn.XLOOKUP(A972,MAQUINAS!$A$3:$A$55,MAQUINAS!$B$3:$B$55,"No encontrada"))</f>
        <v/>
      </c>
      <c r="C972" s="5"/>
      <c r="D972" s="5"/>
      <c r="E972" s="4" t="str">
        <f t="shared" si="15"/>
        <v/>
      </c>
      <c r="O972" s="12"/>
    </row>
    <row r="973" spans="2:15" x14ac:dyDescent="0.25">
      <c r="B973" t="str">
        <f>IF(A973="","",_xlfn.XLOOKUP(A973,MAQUINAS!$A$3:$A$55,MAQUINAS!$B$3:$B$55,"No encontrada"))</f>
        <v/>
      </c>
      <c r="C973" s="5"/>
      <c r="D973" s="5"/>
      <c r="E973" s="4" t="str">
        <f t="shared" si="15"/>
        <v/>
      </c>
      <c r="O973" s="12"/>
    </row>
    <row r="974" spans="2:15" x14ac:dyDescent="0.25">
      <c r="B974" t="str">
        <f>IF(A974="","",_xlfn.XLOOKUP(A974,MAQUINAS!$A$3:$A$55,MAQUINAS!$B$3:$B$55,"No encontrada"))</f>
        <v/>
      </c>
      <c r="C974" s="5"/>
      <c r="D974" s="5"/>
      <c r="E974" s="4" t="str">
        <f t="shared" si="15"/>
        <v/>
      </c>
      <c r="O974" s="12"/>
    </row>
    <row r="975" spans="2:15" x14ac:dyDescent="0.25">
      <c r="B975" t="str">
        <f>IF(A975="","",_xlfn.XLOOKUP(A975,MAQUINAS!$A$3:$A$55,MAQUINAS!$B$3:$B$55,"No encontrada"))</f>
        <v/>
      </c>
      <c r="C975" s="5"/>
      <c r="D975" s="5"/>
      <c r="E975" s="4" t="str">
        <f t="shared" si="15"/>
        <v/>
      </c>
      <c r="O975" s="12"/>
    </row>
    <row r="976" spans="2:15" x14ac:dyDescent="0.25">
      <c r="B976" t="str">
        <f>IF(A976="","",_xlfn.XLOOKUP(A976,MAQUINAS!$A$3:$A$55,MAQUINAS!$B$3:$B$55,"No encontrada"))</f>
        <v/>
      </c>
      <c r="C976" s="5"/>
      <c r="D976" s="5"/>
      <c r="E976" s="4" t="str">
        <f t="shared" si="15"/>
        <v/>
      </c>
      <c r="O976" s="12"/>
    </row>
    <row r="977" spans="2:15" x14ac:dyDescent="0.25">
      <c r="B977" t="str">
        <f>IF(A977="","",_xlfn.XLOOKUP(A977,MAQUINAS!$A$3:$A$55,MAQUINAS!$B$3:$B$55,"No encontrada"))</f>
        <v/>
      </c>
      <c r="C977" s="5"/>
      <c r="D977" s="5"/>
      <c r="E977" s="4" t="str">
        <f t="shared" si="15"/>
        <v/>
      </c>
      <c r="O977" s="12"/>
    </row>
    <row r="978" spans="2:15" x14ac:dyDescent="0.25">
      <c r="B978" t="str">
        <f>IF(A978="","",_xlfn.XLOOKUP(A978,MAQUINAS!$A$3:$A$55,MAQUINAS!$B$3:$B$55,"No encontrada"))</f>
        <v/>
      </c>
      <c r="C978" s="5"/>
      <c r="D978" s="5"/>
      <c r="E978" s="4" t="str">
        <f t="shared" si="15"/>
        <v/>
      </c>
      <c r="O978" s="12"/>
    </row>
    <row r="979" spans="2:15" x14ac:dyDescent="0.25">
      <c r="B979" t="str">
        <f>IF(A979="","",_xlfn.XLOOKUP(A979,MAQUINAS!$A$3:$A$55,MAQUINAS!$B$3:$B$55,"No encontrada"))</f>
        <v/>
      </c>
      <c r="C979" s="5"/>
      <c r="D979" s="5"/>
      <c r="E979" s="4" t="str">
        <f t="shared" si="15"/>
        <v/>
      </c>
      <c r="O979" s="12"/>
    </row>
    <row r="980" spans="2:15" x14ac:dyDescent="0.25">
      <c r="B980" t="str">
        <f>IF(A980="","",_xlfn.XLOOKUP(A980,MAQUINAS!$A$3:$A$55,MAQUINAS!$B$3:$B$55,"No encontrada"))</f>
        <v/>
      </c>
      <c r="C980" s="5"/>
      <c r="D980" s="5"/>
      <c r="E980" s="4" t="str">
        <f t="shared" si="15"/>
        <v/>
      </c>
      <c r="O980" s="12"/>
    </row>
    <row r="981" spans="2:15" x14ac:dyDescent="0.25">
      <c r="B981" t="str">
        <f>IF(A981="","",_xlfn.XLOOKUP(A981,MAQUINAS!$A$3:$A$55,MAQUINAS!$B$3:$B$55,"No encontrada"))</f>
        <v/>
      </c>
      <c r="C981" s="5"/>
      <c r="D981" s="5"/>
      <c r="E981" s="4" t="str">
        <f t="shared" si="15"/>
        <v/>
      </c>
      <c r="O981" s="12"/>
    </row>
    <row r="982" spans="2:15" x14ac:dyDescent="0.25">
      <c r="B982" t="str">
        <f>IF(A982="","",_xlfn.XLOOKUP(A982,MAQUINAS!$A$3:$A$55,MAQUINAS!$B$3:$B$55,"No encontrada"))</f>
        <v/>
      </c>
      <c r="C982" s="5"/>
      <c r="D982" s="5"/>
      <c r="E982" s="4" t="str">
        <f t="shared" si="15"/>
        <v/>
      </c>
      <c r="O982" s="12"/>
    </row>
    <row r="983" spans="2:15" x14ac:dyDescent="0.25">
      <c r="B983" t="str">
        <f>IF(A983="","",_xlfn.XLOOKUP(A983,MAQUINAS!$A$3:$A$55,MAQUINAS!$B$3:$B$55,"No encontrada"))</f>
        <v/>
      </c>
      <c r="C983" s="5"/>
      <c r="D983" s="5"/>
      <c r="E983" s="4" t="str">
        <f t="shared" si="15"/>
        <v/>
      </c>
      <c r="O983" s="12"/>
    </row>
    <row r="984" spans="2:15" x14ac:dyDescent="0.25">
      <c r="B984" t="str">
        <f>IF(A984="","",_xlfn.XLOOKUP(A984,MAQUINAS!$A$3:$A$55,MAQUINAS!$B$3:$B$55,"No encontrada"))</f>
        <v/>
      </c>
      <c r="C984" s="5"/>
      <c r="D984" s="5"/>
      <c r="E984" s="4" t="str">
        <f t="shared" si="15"/>
        <v/>
      </c>
      <c r="O984" s="12"/>
    </row>
    <row r="985" spans="2:15" x14ac:dyDescent="0.25">
      <c r="B985" t="str">
        <f>IF(A985="","",_xlfn.XLOOKUP(A985,MAQUINAS!$A$3:$A$55,MAQUINAS!$B$3:$B$55,"No encontrada"))</f>
        <v/>
      </c>
      <c r="C985" s="5"/>
      <c r="D985" s="5"/>
      <c r="E985" s="4" t="str">
        <f t="shared" si="15"/>
        <v/>
      </c>
      <c r="O985" s="12"/>
    </row>
    <row r="986" spans="2:15" x14ac:dyDescent="0.25">
      <c r="B986" t="str">
        <f>IF(A986="","",_xlfn.XLOOKUP(A986,MAQUINAS!$A$3:$A$55,MAQUINAS!$B$3:$B$55,"No encontrada"))</f>
        <v/>
      </c>
      <c r="C986" s="5"/>
      <c r="D986" s="5"/>
      <c r="E986" s="4" t="str">
        <f t="shared" si="15"/>
        <v/>
      </c>
      <c r="O986" s="12"/>
    </row>
    <row r="987" spans="2:15" x14ac:dyDescent="0.25">
      <c r="B987" t="str">
        <f>IF(A987="","",_xlfn.XLOOKUP(A987,MAQUINAS!$A$3:$A$55,MAQUINAS!$B$3:$B$55,"No encontrada"))</f>
        <v/>
      </c>
      <c r="C987" s="5"/>
      <c r="D987" s="5"/>
      <c r="E987" s="4" t="str">
        <f t="shared" si="15"/>
        <v/>
      </c>
      <c r="O987" s="12"/>
    </row>
    <row r="988" spans="2:15" x14ac:dyDescent="0.25">
      <c r="B988" t="str">
        <f>IF(A988="","",_xlfn.XLOOKUP(A988,MAQUINAS!$A$3:$A$55,MAQUINAS!$B$3:$B$55,"No encontrada"))</f>
        <v/>
      </c>
      <c r="C988" s="5"/>
      <c r="D988" s="5"/>
      <c r="E988" s="4" t="str">
        <f t="shared" si="15"/>
        <v/>
      </c>
      <c r="O988" s="12"/>
    </row>
    <row r="989" spans="2:15" x14ac:dyDescent="0.25">
      <c r="B989" t="str">
        <f>IF(A989="","",_xlfn.XLOOKUP(A989,MAQUINAS!$A$3:$A$55,MAQUINAS!$B$3:$B$55,"No encontrada"))</f>
        <v/>
      </c>
      <c r="C989" s="5"/>
      <c r="D989" s="5"/>
      <c r="E989" s="4" t="str">
        <f t="shared" si="15"/>
        <v/>
      </c>
      <c r="O989" s="12"/>
    </row>
    <row r="990" spans="2:15" x14ac:dyDescent="0.25">
      <c r="B990" t="str">
        <f>IF(A990="","",_xlfn.XLOOKUP(A990,MAQUINAS!$A$3:$A$55,MAQUINAS!$B$3:$B$55,"No encontrada"))</f>
        <v/>
      </c>
      <c r="C990" s="5"/>
      <c r="D990" s="5"/>
      <c r="E990" s="4" t="str">
        <f t="shared" si="15"/>
        <v/>
      </c>
      <c r="O990" s="12"/>
    </row>
    <row r="991" spans="2:15" x14ac:dyDescent="0.25">
      <c r="B991" t="str">
        <f>IF(A991="","",_xlfn.XLOOKUP(A991,MAQUINAS!$A$3:$A$55,MAQUINAS!$B$3:$B$55,"No encontrada"))</f>
        <v/>
      </c>
      <c r="C991" s="5"/>
      <c r="D991" s="5"/>
      <c r="E991" s="4" t="str">
        <f t="shared" si="15"/>
        <v/>
      </c>
      <c r="O991" s="12"/>
    </row>
    <row r="992" spans="2:15" x14ac:dyDescent="0.25">
      <c r="B992" t="str">
        <f>IF(A992="","",_xlfn.XLOOKUP(A992,MAQUINAS!$A$3:$A$55,MAQUINAS!$B$3:$B$55,"No encontrada"))</f>
        <v/>
      </c>
      <c r="C992" s="5"/>
      <c r="D992" s="5"/>
      <c r="E992" s="4" t="str">
        <f t="shared" si="15"/>
        <v/>
      </c>
      <c r="O992" s="12"/>
    </row>
    <row r="993" spans="2:15" x14ac:dyDescent="0.25">
      <c r="B993" t="str">
        <f>IF(A993="","",_xlfn.XLOOKUP(A993,MAQUINAS!$A$3:$A$55,MAQUINAS!$B$3:$B$55,"No encontrada"))</f>
        <v/>
      </c>
      <c r="C993" s="5"/>
      <c r="D993" s="5"/>
      <c r="E993" s="4" t="str">
        <f t="shared" si="15"/>
        <v/>
      </c>
      <c r="O993" s="12"/>
    </row>
    <row r="994" spans="2:15" x14ac:dyDescent="0.25">
      <c r="B994" t="str">
        <f>IF(A994="","",_xlfn.XLOOKUP(A994,MAQUINAS!$A$3:$A$55,MAQUINAS!$B$3:$B$55,"No encontrada"))</f>
        <v/>
      </c>
      <c r="C994" s="5"/>
      <c r="D994" s="5"/>
      <c r="E994" s="4" t="str">
        <f t="shared" si="15"/>
        <v/>
      </c>
      <c r="O994" s="12"/>
    </row>
    <row r="995" spans="2:15" x14ac:dyDescent="0.25">
      <c r="B995" t="str">
        <f>IF(A995="","",_xlfn.XLOOKUP(A995,MAQUINAS!$A$3:$A$55,MAQUINAS!$B$3:$B$55,"No encontrada"))</f>
        <v/>
      </c>
      <c r="C995" s="5"/>
      <c r="D995" s="5"/>
      <c r="E995" s="4" t="str">
        <f t="shared" si="15"/>
        <v/>
      </c>
      <c r="O995" s="12"/>
    </row>
    <row r="996" spans="2:15" x14ac:dyDescent="0.25">
      <c r="B996" t="str">
        <f>IF(A996="","",_xlfn.XLOOKUP(A996,MAQUINAS!$A$3:$A$55,MAQUINAS!$B$3:$B$55,"No encontrada"))</f>
        <v/>
      </c>
      <c r="C996" s="5"/>
      <c r="D996" s="5"/>
      <c r="E996" s="4" t="str">
        <f t="shared" si="15"/>
        <v/>
      </c>
      <c r="O996" s="12"/>
    </row>
    <row r="997" spans="2:15" x14ac:dyDescent="0.25">
      <c r="B997" t="str">
        <f>IF(A997="","",_xlfn.XLOOKUP(A997,MAQUINAS!$A$3:$A$55,MAQUINAS!$B$3:$B$55,"No encontrada"))</f>
        <v/>
      </c>
      <c r="C997" s="5"/>
      <c r="D997" s="5"/>
      <c r="E997" s="4" t="str">
        <f t="shared" si="15"/>
        <v/>
      </c>
      <c r="O997" s="12"/>
    </row>
    <row r="998" spans="2:15" x14ac:dyDescent="0.25">
      <c r="B998" t="str">
        <f>IF(A998="","",_xlfn.XLOOKUP(A998,MAQUINAS!$A$3:$A$55,MAQUINAS!$B$3:$B$55,"No encontrada"))</f>
        <v/>
      </c>
      <c r="C998" s="5"/>
      <c r="D998" s="5"/>
      <c r="E998" s="4" t="str">
        <f t="shared" si="15"/>
        <v/>
      </c>
      <c r="O998" s="12"/>
    </row>
    <row r="999" spans="2:15" x14ac:dyDescent="0.25">
      <c r="B999" t="str">
        <f>IF(A999="","",_xlfn.XLOOKUP(A999,MAQUINAS!$A$3:$A$55,MAQUINAS!$B$3:$B$55,"No encontrada"))</f>
        <v/>
      </c>
      <c r="C999" s="5"/>
      <c r="D999" s="5"/>
      <c r="E999" s="4" t="str">
        <f t="shared" si="15"/>
        <v/>
      </c>
      <c r="O999" s="12"/>
    </row>
    <row r="1000" spans="2:15" x14ac:dyDescent="0.25">
      <c r="B1000" t="str">
        <f>IF(A1000="","",_xlfn.XLOOKUP(A1000,MAQUINAS!$A$3:$A$55,MAQUINAS!$B$3:$B$55,"No encontrada"))</f>
        <v/>
      </c>
      <c r="C1000" s="5"/>
      <c r="D1000" s="5"/>
      <c r="E1000" s="4" t="str">
        <f t="shared" si="15"/>
        <v/>
      </c>
      <c r="O1000" s="12"/>
    </row>
  </sheetData>
  <autoFilter ref="A1:M1000" xr:uid="{00000000-0001-0000-0000-000000000000}"/>
  <dataValidations count="1">
    <dataValidation type="list" allowBlank="1" showInputMessage="1" showErrorMessage="1" errorTitle="Hora no válida" error="Seleccione una hora de la lista." promptTitle="SELECCIONAR HORA" prompt="Elija una hora en formato AM/PM, disponible cada minuto." sqref="C2:D1000" xr:uid="{DCAA4866-D327-4E14-8145-40493ACBD2A1}">
      <formula1>HorasCadaMinuto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3FFE36-F832-4EB5-AD46-544C389776BE}">
          <x14:formula1>
            <xm:f>TECNICOS!$A$2:$A$13</xm:f>
          </x14:formula1>
          <xm:sqref>I2:K2</xm:sqref>
        </x14:dataValidation>
        <x14:dataValidation type="list" allowBlank="1" showInputMessage="1" showErrorMessage="1" xr:uid="{F26E3E99-DDF3-4EA8-A4E0-D844F935DCEC}">
          <x14:formula1>
            <xm:f>MAQUINAS!$A$3:$A$55</xm:f>
          </x14:formula1>
          <xm:sqref>A2:A1000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8B3C-DE2F-4DAC-A554-27C70A31C25F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7240-8C05-4808-B4F0-67380F049DFA}">
  <dimension ref="A1"/>
  <sheetViews>
    <sheetView workbookViewId="0">
      <selection activeCell="J1" sqref="A1:J1"/>
    </sheetView>
  </sheetViews>
  <sheetFormatPr baseColWidth="10" defaultColWidth="9.140625" defaultRowHeight="15" x14ac:dyDescent="0.25"/>
  <cols>
    <col min="1" max="1" width="14.5703125" customWidth="1"/>
    <col min="2" max="2" width="13.28515625" customWidth="1"/>
    <col min="3" max="3" width="15.28515625" customWidth="1"/>
    <col min="4" max="4" width="13.7109375" customWidth="1"/>
    <col min="5" max="5" width="14.28515625" customWidth="1"/>
    <col min="6" max="6" width="35.7109375" customWidth="1"/>
    <col min="7" max="7" width="44.85546875" customWidth="1"/>
    <col min="8" max="8" width="14.85546875" customWidth="1"/>
    <col min="9" max="9" width="27.42578125" customWidth="1"/>
    <col min="10" max="10" width="14.140625" customWidth="1"/>
  </cols>
  <sheetData>
    <row r="1" ht="24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MAQUINAS</vt:lpstr>
      <vt:lpstr>TECNICOS</vt:lpstr>
      <vt:lpstr>Configuracion</vt:lpstr>
      <vt:lpstr>Agosto</vt:lpstr>
      <vt:lpstr>Hoja1</vt:lpstr>
      <vt:lpstr>Septiembre</vt:lpstr>
      <vt:lpstr>Horas5Min</vt:lpstr>
      <vt:lpstr>Horas5MinAmbos</vt:lpstr>
      <vt:lpstr>HorasCadaMinuto</vt:lpstr>
      <vt:lpstr>ListaMaquinas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Bayron</dc:creator>
  <cp:keywords/>
  <dc:description/>
  <cp:lastModifiedBy>bayron lopez</cp:lastModifiedBy>
  <cp:revision/>
  <dcterms:created xsi:type="dcterms:W3CDTF">2026-08-03T14:20:12Z</dcterms:created>
  <dcterms:modified xsi:type="dcterms:W3CDTF">2026-08-23T23:09:30Z</dcterms:modified>
  <cp:category/>
  <cp:contentStatus/>
</cp:coreProperties>
</file>